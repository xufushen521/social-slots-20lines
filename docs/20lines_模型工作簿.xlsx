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b96b4d0bf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rSheet" sheetId="1" r:id="R16b8e479ed694a15"/>
    <x:sheet xmlns:r="http://schemas.openxmlformats.org/officeDocument/2006/relationships" name="02_RTP计算" sheetId="2" r:id="R483b2fc68a794647"/>
    <x:sheet xmlns:r="http://schemas.openxmlformats.org/officeDocument/2006/relationships" name="03_结果对比" sheetId="3" r:id="Rfa0c4c9fe7d8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"/>
    <x:numFmt numFmtId="201" formatCode="0.0000%"/>
    <x:numFmt numFmtId="202" formatCode="0.000000"/>
    <x:numFmt numFmtId="203" formatCode="0.00%"/>
    <x:numFmt numFmtId="204" formatCode="#,##0x"/>
    <x:numFmt numFmtId="205" formatCode="+0.0000&quot;pp&quot;;-0.0000&quot;pp&quot;;0.0000&quot;pp&quot;"/>
    <x:numFmt numFmtId="206" formatCode="+0.0000pp;-0.0000pp;0.0000pp"/>
    <x:numFmt numFmtId="207" formatCode="+0.00pp;-0.00pp;0.00pp"/>
    <x:numFmt numFmtId="208" formatCode="+0.00;-0.00;0.00"/>
    <x:numFmt numFmtId="209" formatCode="+0x;-0x;0x"/>
  </x:numFmts>
  <x:fonts count="24">
    <x:font>
      <x:sz val="11"/>
      <x:name val="Carlito"/>
    </x:font>
    <x:font>
      <x:sz val="10"/>
      <x:color rgb="FF1F2933"/>
      <x:name val="Microsoft YaHei"/>
    </x:font>
    <x:font>
      <x:b/>
      <x:sz val="14"/>
      <x:color rgb="FF1F2933"/>
      <x:name val="Microsoft YaHei"/>
    </x:font>
    <x:font>
      <x:b/>
      <x:sz val="9"/>
      <x:color rgb="FF59636E"/>
      <x:name val="Microsoft YaHei"/>
    </x:font>
    <x:font>
      <x:b/>
      <x:sz val="11"/>
      <x:color rgb="FF1F2933"/>
      <x:name val="Microsoft YaHei"/>
    </x:font>
    <x:font>
      <x:b/>
      <x:sz val="9.2"/>
      <x:color rgb="FFFFFFFF"/>
      <x:name val="Microsoft YaHei"/>
    </x:font>
    <x:font>
      <x:sz val="8.2"/>
      <x:color rgb="FF1F2933"/>
      <x:name val="Microsoft YaHei"/>
    </x:font>
    <x:font>
      <x:sz val="8"/>
      <x:color rgb="FF59636E"/>
      <x:name val="Microsoft YaHei"/>
    </x:font>
    <x:font>
      <x:sz val="8.4"/>
      <x:color rgb="FF1F2933"/>
      <x:name val="Microsoft YaHei"/>
    </x:font>
    <x:font>
      <x:sz val="8.6"/>
      <x:color rgb="FF1F2933"/>
      <x:name val="Microsoft YaHei"/>
    </x:font>
    <x:font>
      <x:b/>
      <x:sz val="10"/>
      <x:color rgb="FF1F2933"/>
      <x:name val="Microsoft YaHei"/>
    </x:font>
    <x:font>
      <x:b/>
      <x:sz val="7.5"/>
      <x:color rgb="FFFFFFFF"/>
      <x:name val="Microsoft YaHei"/>
    </x:font>
    <x:font>
      <x:sz val="7.2"/>
      <x:color rgb="FF1F2933"/>
      <x:name val="Microsoft YaHei"/>
    </x:font>
    <x:font>
      <x:b/>
      <x:sz val="8"/>
      <x:color rgb="FF59636E"/>
      <x:name val="Microsoft YaHei"/>
    </x:font>
    <x:font>
      <x:sz val="8.5"/>
      <x:color rgb="FF59636E"/>
      <x:name val="Microsoft YaHei"/>
    </x:font>
    <x:font>
      <x:b/>
      <x:sz val="8.1"/>
      <x:color rgb="FFFFFFFF"/>
      <x:name val="Microsoft YaHei"/>
    </x:font>
    <x:font>
      <x:b/>
      <x:sz val="8.2"/>
      <x:color rgb="FF1F2933"/>
      <x:name val="Microsoft YaHei"/>
    </x:font>
    <x:font>
      <x:b/>
      <x:sz val="8.8"/>
      <x:color rgb="FF1F2933"/>
      <x:name val="Microsoft YaHei"/>
    </x:font>
    <x:font>
      <x:sz val="8.8"/>
      <x:color rgb="FF1F2933"/>
      <x:name val="Microsoft YaHei"/>
    </x:font>
    <x:font>
      <x:sz val="9"/>
      <x:color rgb="FF59636E"/>
      <x:name val="Microsoft YaHei"/>
    </x:font>
    <x:font>
      <x:b/>
      <x:sz val="8.9"/>
      <x:color rgb="FF1F2933"/>
      <x:name val="Microsoft YaHei"/>
    </x:font>
    <x:font>
      <x:sz val="8.9"/>
      <x:color rgb="FF1F2933"/>
      <x:name val="Microsoft YaHei"/>
    </x:font>
    <x:font>
      <x:sz val="8.7"/>
      <x:color rgb="FF1F2933"/>
      <x:name val="Microsoft YaHei"/>
    </x:font>
    <x:font>
      <x:sz val="9"/>
      <x:color rgb="FF1F2933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F3E4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200" fontId="9" fillId="0" borderId="3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1" fillId="2" borderId="2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201" fontId="6" fillId="0" borderId="3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201" fontId="6" fillId="3" borderId="3" xfId="0" applyNumberFormat="1" applyFont="1" applyFill="1" applyBorder="1" applyAlignment="1">
      <x:alignment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8" fillId="0" borderId="3" xfId="0" applyNumberFormat="1" applyFont="1" applyFill="1" applyBorder="1" applyAlignment="1">
      <x:alignment vertical="center"/>
    </x:xf>
    <x:xf numFmtId="201" fontId="18" fillId="0" borderId="3" xfId="0" applyNumberFormat="1" applyFont="1" applyFill="1" applyBorder="1" applyAlignment="1">
      <x:alignment vertical="center"/>
    </x:xf>
    <x:xf numFmtId="203" fontId="18" fillId="0" borderId="3" xfId="0" applyNumberFormat="1" applyFont="1" applyFill="1" applyBorder="1" applyAlignment="1">
      <x:alignment vertical="center"/>
    </x:xf>
    <x:xf numFmtId="200" fontId="18" fillId="0" borderId="3" xfId="0" applyNumberFormat="1" applyFont="1" applyFill="1" applyBorder="1" applyAlignment="1">
      <x:alignment vertical="center"/>
    </x:xf>
    <x:xf numFmtId="204" fontId="18" fillId="0" borderId="3" xfId="0" applyNumberFormat="1" applyFont="1" applyFill="1" applyBorder="1" applyAlignment="1">
      <x:alignment vertical="center"/>
    </x:xf>
    <x:xf numFmtId="205" fontId="18" fillId="0" borderId="3" xfId="0" applyNumberFormat="1" applyFont="1" applyFill="1" applyBorder="1" applyAlignment="1">
      <x:alignment vertical="center"/>
    </x:xf>
    <x:xf numFmtId="201" fontId="18" fillId="4" borderId="3" xfId="0" applyNumberFormat="1" applyFont="1" applyFill="1" applyBorder="1" applyAlignment="1">
      <x:alignment vertical="center"/>
    </x:xf>
    <x:xf numFmtId="203" fontId="18" fillId="4" borderId="3" xfId="0" applyNumberFormat="1" applyFont="1" applyFill="1" applyBorder="1" applyAlignment="1">
      <x:alignment vertical="center"/>
    </x:xf>
    <x:xf numFmtId="200" fontId="18" fillId="4" borderId="3" xfId="0" applyNumberFormat="1" applyFont="1" applyFill="1" applyBorder="1" applyAlignment="1">
      <x:alignment vertical="center"/>
    </x:xf>
    <x:xf numFmtId="204" fontId="18" fillId="4" borderId="3" xfId="0" applyNumberFormat="1" applyFont="1" applyFill="1" applyBorder="1" applyAlignment="1">
      <x:alignment vertical="center"/>
    </x:xf>
    <x:xf numFmtId="0" fontId="18" fillId="3" borderId="3" xfId="0" applyNumberFormat="1" applyFont="1" applyFill="1" applyBorder="1" applyAlignment="1">
      <x:alignment vertical="center"/>
    </x:xf>
    <x:xf numFmtId="201" fontId="18" fillId="3" borderId="3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/>
    <x:xf numFmtId="0" fontId="20" fillId="2" borderId="2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vertical="center"/>
    </x:xf>
    <x:xf numFmtId="0" fontId="20" fillId="2" borderId="3" xfId="0" applyNumberFormat="1" applyFont="1" applyFill="1" applyBorder="1" applyAlignment="1">
      <x:alignment horizontal="center" vertical="center"/>
    </x:xf>
    <x:xf numFmtId="0" fontId="21" fillId="0" borderId="3" xfId="0" applyNumberFormat="1" applyFont="1" applyFill="1" applyBorder="1" applyAlignment="1">
      <x:alignment vertical="center"/>
    </x:xf>
    <x:xf numFmtId="201" fontId="21" fillId="0" borderId="3" xfId="0" applyNumberFormat="1" applyFont="1" applyFill="1" applyBorder="1" applyAlignment="1">
      <x:alignment vertical="center"/>
    </x:xf>
    <x:xf numFmtId="206" fontId="21" fillId="0" borderId="3" xfId="0" applyNumberFormat="1" applyFont="1" applyFill="1" applyBorder="1" applyAlignment="1">
      <x:alignment vertical="center"/>
    </x:xf>
    <x:xf numFmtId="203" fontId="21" fillId="0" borderId="3" xfId="0" applyNumberFormat="1" applyFont="1" applyFill="1" applyBorder="1" applyAlignment="1">
      <x:alignment vertical="center"/>
    </x:xf>
    <x:xf numFmtId="207" fontId="21" fillId="0" borderId="3" xfId="0" applyNumberFormat="1" applyFont="1" applyFill="1" applyBorder="1" applyAlignment="1">
      <x:alignment vertical="center"/>
    </x:xf>
    <x:xf numFmtId="200" fontId="21" fillId="0" borderId="3" xfId="0" applyNumberFormat="1" applyFont="1" applyFill="1" applyBorder="1" applyAlignment="1">
      <x:alignment vertical="center"/>
    </x:xf>
    <x:xf numFmtId="208" fontId="21" fillId="0" borderId="3" xfId="0" applyNumberFormat="1" applyFont="1" applyFill="1" applyBorder="1" applyAlignment="1">
      <x:alignment vertical="center"/>
    </x:xf>
    <x:xf numFmtId="204" fontId="21" fillId="0" borderId="3" xfId="0" applyNumberFormat="1" applyFont="1" applyFill="1" applyBorder="1" applyAlignment="1">
      <x:alignment vertical="center"/>
    </x:xf>
    <x:xf numFmtId="209" fontId="21" fillId="0" borderId="3" xfId="0" applyNumberFormat="1" applyFont="1" applyFill="1" applyBorder="1" applyAlignment="1">
      <x:alignment vertical="center"/>
    </x:xf>
    <x:xf numFmtId="205" fontId="21" fillId="0" borderId="3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0" borderId="3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73b0b16344bf5" /><Relationship Type="http://schemas.openxmlformats.org/officeDocument/2006/relationships/theme" Target="/xl/theme/theme1.xml" Id="R034711a7847b4c61" /><Relationship Type="http://schemas.openxmlformats.org/officeDocument/2006/relationships/sharedStrings" Target="/xl/sharedStrings.xml" Id="R7e4373dddcab43e3" /><Relationship Type="http://schemas.openxmlformats.org/officeDocument/2006/relationships/worksheet" Target="/xl/worksheets/sheet1.xml" Id="R16b8e479ed694a15" /><Relationship Type="http://schemas.openxmlformats.org/officeDocument/2006/relationships/worksheet" Target="/xl/worksheets/sheet2.xml" Id="R483b2fc68a794647" /><Relationship Type="http://schemas.openxmlformats.org/officeDocument/2006/relationships/worksheet" Target="/xl/worksheets/sheet3.xml" Id="Rfa0c4c9fe7d8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65A75"/>
  </x:sheetPr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" hidden="0" customWidth="1"/>
    <x:col min="9" max="9" width="3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</x:cols>
  <x:sheetData>
    <x:row r="1">
      <x:c r="A1" s="82" t="str">
        <x:v>20 Lines Social Par Sheet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  <x:c r="AA1" s="83"/>
      <x:c r="AB1" s="83"/>
      <x:c r="AC1" s="83"/>
    </x:row>
    <x:row r="2">
      <x:c r="A2" s="84" t="str">
        <x:v>优先级：U1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  <x:c r="AA2" s="83"/>
      <x:c r="AB2" s="83"/>
      <x:c r="AC2" s="83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5" t="str">
        <x:v>Beginner strips</x:v>
      </x:c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  <x:c r="AA3" s="83"/>
      <x:c r="AB3" s="83"/>
      <x:c r="AC3" s="83"/>
    </x:row>
    <x:row r="4" ht="24" customHeight="1">
      <x:c r="A4" s="83"/>
      <x:c r="B4" s="83"/>
      <x:c r="C4" s="83"/>
      <x:c r="D4" s="83"/>
      <x:c r="E4" s="83"/>
      <x:c r="F4" s="83"/>
      <x:c r="G4" s="83"/>
      <x:c r="H4" s="83"/>
      <x:c r="I4" s="83"/>
      <x:c r="J4" s="28" t="n">
        <x:v>1</x:v>
      </x:c>
      <x:c r="K4" s="28" t="n">
        <x:v>2</x:v>
      </x:c>
      <x:c r="L4" s="28" t="n">
        <x:v>3</x:v>
      </x:c>
      <x:c r="M4" s="28" t="n">
        <x:v>4</x:v>
      </x:c>
      <x:c r="N4" s="28" t="n">
        <x:v>5</x:v>
      </x:c>
      <x:c r="O4" s="28" t="n">
        <x:v>6</x:v>
      </x:c>
      <x:c r="P4" s="28" t="n">
        <x:v>7</x:v>
      </x:c>
      <x:c r="Q4" s="28" t="n">
        <x:v>8</x:v>
      </x:c>
      <x:c r="R4" s="28" t="n">
        <x:v>9</x:v>
      </x:c>
      <x:c r="S4" s="28" t="n">
        <x:v>10</x:v>
      </x:c>
      <x:c r="T4" s="28" t="n">
        <x:v>11</x:v>
      </x:c>
      <x:c r="U4" s="28" t="n">
        <x:v>12</x:v>
      </x:c>
      <x:c r="V4" s="28" t="n">
        <x:v>13</x:v>
      </x:c>
      <x:c r="W4" s="28" t="n">
        <x:v>14</x:v>
      </x:c>
      <x:c r="X4" s="28" t="n">
        <x:v>15</x:v>
      </x:c>
      <x:c r="Y4" s="28" t="n">
        <x:v>16</x:v>
      </x:c>
      <x:c r="Z4" s="28" t="n">
        <x:v>17</x:v>
      </x:c>
      <x:c r="AA4" s="28" t="n">
        <x:v>18</x:v>
      </x:c>
      <x:c r="AB4" s="28" t="n">
        <x:v>19</x:v>
      </x:c>
      <x:c r="AC4" s="28" t="n">
        <x:v>20</x:v>
      </x:c>
    </x:row>
    <x:row r="5">
      <x:c r="A5" s="86" t="str">
        <x:v>20 条固定线图</x:v>
      </x:c>
      <x:c r="B5" s="83"/>
      <x:c r="C5" s="83"/>
      <x:c r="D5" s="83"/>
      <x:c r="E5" s="83"/>
      <x:c r="F5" s="83"/>
      <x:c r="G5" s="83"/>
      <x:c r="H5" s="83"/>
      <x:c r="I5" s="83"/>
      <x:c r="J5" s="32" t="str">
        <x:v>K</x:v>
      </x:c>
      <x:c r="K5" s="32" t="str">
        <x:v>Q</x:v>
      </x:c>
      <x:c r="L5" s="32" t="str">
        <x:v>J</x:v>
      </x:c>
      <x:c r="M5" s="32" t="str">
        <x:v>10</x:v>
      </x:c>
      <x:c r="N5" s="32" t="str">
        <x:v>9</x:v>
      </x:c>
      <x:c r="O5" s="32" t="str">
        <x:v>8</x:v>
      </x:c>
      <x:c r="P5" s="32" t="str">
        <x:v>7</x:v>
      </x:c>
      <x:c r="Q5" s="32" t="str">
        <x:v>K</x:v>
      </x:c>
      <x:c r="R5" s="32" t="str">
        <x:v>Q</x:v>
      </x:c>
      <x:c r="S5" s="32" t="str">
        <x:v>J</x:v>
      </x:c>
      <x:c r="T5" s="32" t="str">
        <x:v>10</x:v>
      </x:c>
      <x:c r="U5" s="32" t="str">
        <x:v>9</x:v>
      </x:c>
      <x:c r="V5" s="32" t="str">
        <x:v>8</x:v>
      </x:c>
      <x:c r="W5" s="32" t="str">
        <x:v>7</x:v>
      </x:c>
      <x:c r="X5" s="32" t="str">
        <x:v>9</x:v>
      </x:c>
      <x:c r="Y5" s="32" t="str">
        <x:v>8</x:v>
      </x:c>
      <x:c r="Z5" s="32" t="str">
        <x:v>9</x:v>
      </x:c>
      <x:c r="AA5" s="32" t="str">
        <x:v>8</x:v>
      </x:c>
      <x:c r="AB5" s="32" t="str">
        <x:v>9</x:v>
      </x:c>
      <x:c r="AC5" s="32" t="str">
        <x:v>7</x:v>
      </x:c>
    </x:row>
    <x:row r="6" ht="28" customHeight="1">
      <x:c r="A6" s="10" t="str">
        <x:v>Line</x:v>
      </x:c>
      <x:c r="B6" s="10" t="str">
        <x:v>Reel 1</x:v>
      </x:c>
      <x:c r="C6" s="10" t="str">
        <x:v>Reel 2</x:v>
      </x:c>
      <x:c r="D6" s="10" t="str">
        <x:v>Reel 3</x:v>
      </x:c>
      <x:c r="E6" s="10" t="str">
        <x:v>Reel 4</x:v>
      </x:c>
      <x:c r="F6" s="10" t="str">
        <x:v>Reel 5</x:v>
      </x:c>
      <x:c r="G6" s="83"/>
      <x:c r="H6" s="83"/>
      <x:c r="I6" s="83"/>
      <x:c r="J6" s="32" t="str">
        <x:v>K</x:v>
      </x:c>
      <x:c r="K6" s="32" t="str">
        <x:v>Q</x:v>
      </x:c>
      <x:c r="L6" s="32" t="str">
        <x:v>J</x:v>
      </x:c>
      <x:c r="M6" s="32" t="str">
        <x:v>10</x:v>
      </x:c>
      <x:c r="N6" s="32" t="str">
        <x:v>9</x:v>
      </x:c>
      <x:c r="O6" s="32" t="str">
        <x:v>8</x:v>
      </x:c>
      <x:c r="P6" s="32" t="str">
        <x:v>7</x:v>
      </x:c>
      <x:c r="Q6" s="32" t="str">
        <x:v>K</x:v>
      </x:c>
      <x:c r="R6" s="32" t="str">
        <x:v>Q</x:v>
      </x:c>
      <x:c r="S6" s="32" t="str">
        <x:v>J</x:v>
      </x:c>
      <x:c r="T6" s="32" t="str">
        <x:v>10</x:v>
      </x:c>
      <x:c r="U6" s="32" t="str">
        <x:v>9</x:v>
      </x:c>
      <x:c r="V6" s="32" t="str">
        <x:v>8</x:v>
      </x:c>
      <x:c r="W6" s="32" t="str">
        <x:v>7</x:v>
      </x:c>
      <x:c r="X6" s="32" t="str">
        <x:v>9</x:v>
      </x:c>
      <x:c r="Y6" s="32" t="str">
        <x:v>8</x:v>
      </x:c>
      <x:c r="Z6" s="32" t="str">
        <x:v>9</x:v>
      </x:c>
      <x:c r="AA6" s="32" t="str">
        <x:v>8</x:v>
      </x:c>
      <x:c r="AB6" s="32" t="str">
        <x:v>9</x:v>
      </x:c>
      <x:c r="AC6" s="32" t="str">
        <x:v>7</x:v>
      </x:c>
    </x:row>
    <x:row r="7" ht="17" customHeight="1">
      <x:c r="A7" s="14" t="n">
        <x:v>1</x:v>
      </x:c>
      <x:c r="B7" s="14" t="n">
        <x:v>2</x:v>
      </x:c>
      <x:c r="C7" s="14" t="n">
        <x:v>2</x:v>
      </x:c>
      <x:c r="D7" s="14" t="n">
        <x:v>2</x:v>
      </x:c>
      <x:c r="E7" s="14" t="n">
        <x:v>2</x:v>
      </x:c>
      <x:c r="F7" s="14" t="n">
        <x:v>2</x:v>
      </x:c>
      <x:c r="G7" s="83"/>
      <x:c r="H7" s="83"/>
      <x:c r="I7" s="83"/>
      <x:c r="J7" s="32" t="str">
        <x:v>K</x:v>
      </x:c>
      <x:c r="K7" s="32" t="str">
        <x:v>Q</x:v>
      </x:c>
      <x:c r="L7" s="32" t="str">
        <x:v>J</x:v>
      </x:c>
      <x:c r="M7" s="32" t="str">
        <x:v>10</x:v>
      </x:c>
      <x:c r="N7" s="32" t="str">
        <x:v>9</x:v>
      </x:c>
      <x:c r="O7" s="32" t="str">
        <x:v>8</x:v>
      </x:c>
      <x:c r="P7" s="32" t="str">
        <x:v>7</x:v>
      </x:c>
      <x:c r="Q7" s="32" t="str">
        <x:v>K</x:v>
      </x:c>
      <x:c r="R7" s="32" t="str">
        <x:v>Q</x:v>
      </x:c>
      <x:c r="S7" s="32" t="str">
        <x:v>J</x:v>
      </x:c>
      <x:c r="T7" s="32" t="str">
        <x:v>10</x:v>
      </x:c>
      <x:c r="U7" s="32" t="str">
        <x:v>9</x:v>
      </x:c>
      <x:c r="V7" s="32" t="str">
        <x:v>8</x:v>
      </x:c>
      <x:c r="W7" s="32" t="str">
        <x:v>7</x:v>
      </x:c>
      <x:c r="X7" s="32" t="str">
        <x:v>9</x:v>
      </x:c>
      <x:c r="Y7" s="32" t="str">
        <x:v>8</x:v>
      </x:c>
      <x:c r="Z7" s="32" t="str">
        <x:v>9</x:v>
      </x:c>
      <x:c r="AA7" s="32" t="str">
        <x:v>8</x:v>
      </x:c>
      <x:c r="AB7" s="32" t="str">
        <x:v>9</x:v>
      </x:c>
      <x:c r="AC7" s="32" t="str">
        <x:v>7</x:v>
      </x:c>
    </x:row>
    <x:row r="8" ht="17" customHeight="1">
      <x:c r="A8" s="14" t="n">
        <x:v>2</x:v>
      </x:c>
      <x:c r="B8" s="14" t="n">
        <x:v>1</x:v>
      </x:c>
      <x:c r="C8" s="14" t="n">
        <x:v>1</x:v>
      </x:c>
      <x:c r="D8" s="14" t="n">
        <x:v>1</x:v>
      </x:c>
      <x:c r="E8" s="14" t="n">
        <x:v>1</x:v>
      </x:c>
      <x:c r="F8" s="14" t="n">
        <x:v>1</x:v>
      </x:c>
      <x:c r="G8" s="83"/>
      <x:c r="H8" s="83"/>
      <x:c r="I8" s="83"/>
      <x:c r="J8" s="32" t="str">
        <x:v>K</x:v>
      </x:c>
      <x:c r="K8" s="32" t="str">
        <x:v>Q</x:v>
      </x:c>
      <x:c r="L8" s="32" t="str">
        <x:v>J</x:v>
      </x:c>
      <x:c r="M8" s="32" t="str">
        <x:v>10</x:v>
      </x:c>
      <x:c r="N8" s="32" t="str">
        <x:v>9</x:v>
      </x:c>
      <x:c r="O8" s="32" t="str">
        <x:v>8</x:v>
      </x:c>
      <x:c r="P8" s="32" t="str">
        <x:v>7</x:v>
      </x:c>
      <x:c r="Q8" s="32" t="str">
        <x:v>K</x:v>
      </x:c>
      <x:c r="R8" s="32" t="str">
        <x:v>Q</x:v>
      </x:c>
      <x:c r="S8" s="32" t="str">
        <x:v>J</x:v>
      </x:c>
      <x:c r="T8" s="32" t="str">
        <x:v>10</x:v>
      </x:c>
      <x:c r="U8" s="32" t="str">
        <x:v>9</x:v>
      </x:c>
      <x:c r="V8" s="32" t="str">
        <x:v>8</x:v>
      </x:c>
      <x:c r="W8" s="32" t="str">
        <x:v>7</x:v>
      </x:c>
      <x:c r="X8" s="32" t="str">
        <x:v>9</x:v>
      </x:c>
      <x:c r="Y8" s="32" t="str">
        <x:v>8</x:v>
      </x:c>
      <x:c r="Z8" s="32" t="str">
        <x:v>9</x:v>
      </x:c>
      <x:c r="AA8" s="32" t="str">
        <x:v>8</x:v>
      </x:c>
      <x:c r="AB8" s="32" t="str">
        <x:v>9</x:v>
      </x:c>
      <x:c r="AC8" s="32" t="str">
        <x:v>7</x:v>
      </x:c>
    </x:row>
    <x:row r="9" ht="17" customHeight="1">
      <x:c r="A9" s="14" t="n">
        <x:v>3</x:v>
      </x:c>
      <x:c r="B9" s="14" t="n">
        <x:v>3</x:v>
      </x:c>
      <x:c r="C9" s="14" t="n">
        <x:v>3</x:v>
      </x:c>
      <x:c r="D9" s="14" t="n">
        <x:v>3</x:v>
      </x:c>
      <x:c r="E9" s="14" t="n">
        <x:v>3</x:v>
      </x:c>
      <x:c r="F9" s="14" t="n">
        <x:v>3</x:v>
      </x:c>
      <x:c r="G9" s="83"/>
      <x:c r="H9" s="83"/>
      <x:c r="I9" s="83"/>
      <x:c r="J9" s="32" t="str">
        <x:v>K</x:v>
      </x:c>
      <x:c r="K9" s="32" t="str">
        <x:v>Q</x:v>
      </x:c>
      <x:c r="L9" s="32" t="str">
        <x:v>J</x:v>
      </x:c>
      <x:c r="M9" s="32" t="str">
        <x:v>10</x:v>
      </x:c>
      <x:c r="N9" s="32" t="str">
        <x:v>9</x:v>
      </x:c>
      <x:c r="O9" s="32" t="str">
        <x:v>8</x:v>
      </x:c>
      <x:c r="P9" s="32" t="str">
        <x:v>7</x:v>
      </x:c>
      <x:c r="Q9" s="32" t="str">
        <x:v>K</x:v>
      </x:c>
      <x:c r="R9" s="32" t="str">
        <x:v>Q</x:v>
      </x:c>
      <x:c r="S9" s="32" t="str">
        <x:v>J</x:v>
      </x:c>
      <x:c r="T9" s="32" t="str">
        <x:v>10</x:v>
      </x:c>
      <x:c r="U9" s="32" t="str">
        <x:v>9</x:v>
      </x:c>
      <x:c r="V9" s="32" t="str">
        <x:v>8</x:v>
      </x:c>
      <x:c r="W9" s="32" t="str">
        <x:v>7</x:v>
      </x:c>
      <x:c r="X9" s="32" t="str">
        <x:v>9</x:v>
      </x:c>
      <x:c r="Y9" s="32" t="str">
        <x:v>8</x:v>
      </x:c>
      <x:c r="Z9" s="32" t="str">
        <x:v>9</x:v>
      </x:c>
      <x:c r="AA9" s="32" t="str">
        <x:v>8</x:v>
      </x:c>
      <x:c r="AB9" s="32" t="str">
        <x:v>9</x:v>
      </x:c>
      <x:c r="AC9" s="32" t="str">
        <x:v>7</x:v>
      </x:c>
    </x:row>
    <x:row r="10" ht="17" customHeight="1">
      <x:c r="A10" s="14" t="n">
        <x:v>4</x:v>
      </x:c>
      <x:c r="B10" s="14" t="n">
        <x:v>1</x:v>
      </x:c>
      <x:c r="C10" s="14" t="n">
        <x:v>2</x:v>
      </x:c>
      <x:c r="D10" s="14" t="n">
        <x:v>3</x:v>
      </x:c>
      <x:c r="E10" s="14" t="n">
        <x:v>2</x:v>
      </x:c>
      <x:c r="F10" s="14" t="n">
        <x:v>1</x:v>
      </x:c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  <x:c r="AA10" s="83"/>
      <x:c r="AB10" s="83"/>
      <x:c r="AC10" s="83"/>
    </x:row>
    <x:row r="11" ht="17" customHeight="1">
      <x:c r="A11" s="14" t="n">
        <x:v>5</x:v>
      </x:c>
      <x:c r="B11" s="14" t="n">
        <x:v>3</x:v>
      </x:c>
      <x:c r="C11" s="14" t="n">
        <x:v>2</x:v>
      </x:c>
      <x:c r="D11" s="14" t="n">
        <x:v>1</x:v>
      </x:c>
      <x:c r="E11" s="14" t="n">
        <x:v>2</x:v>
      </x:c>
      <x:c r="F11" s="14" t="n">
        <x:v>3</x:v>
      </x:c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  <x:c r="AA11" s="83"/>
      <x:c r="AB11" s="83"/>
      <x:c r="AC11" s="83"/>
    </x:row>
    <x:row r="12" ht="17" customHeight="1">
      <x:c r="A12" s="14" t="n">
        <x:v>6</x:v>
      </x:c>
      <x:c r="B12" s="14" t="n">
        <x:v>1</x:v>
      </x:c>
      <x:c r="C12" s="14" t="n">
        <x:v>1</x:v>
      </x:c>
      <x:c r="D12" s="14" t="n">
        <x:v>2</x:v>
      </x:c>
      <x:c r="E12" s="14" t="n">
        <x:v>1</x:v>
      </x:c>
      <x:c r="F12" s="14" t="n">
        <x:v>1</x:v>
      </x:c>
      <x:c r="G12" s="83"/>
      <x:c r="H12" s="83"/>
      <x:c r="I12" s="83"/>
      <x:c r="J12" s="85" t="str">
        <x:v>Advanced strips</x:v>
      </x:c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  <x:c r="AA12" s="83"/>
      <x:c r="AB12" s="83"/>
      <x:c r="AC12" s="83"/>
    </x:row>
    <x:row r="13" ht="24" customHeight="1">
      <x:c r="A13" s="14" t="n">
        <x:v>7</x:v>
      </x:c>
      <x:c r="B13" s="14" t="n">
        <x:v>3</x:v>
      </x:c>
      <x:c r="C13" s="14" t="n">
        <x:v>3</x:v>
      </x:c>
      <x:c r="D13" s="14" t="n">
        <x:v>2</x:v>
      </x:c>
      <x:c r="E13" s="14" t="n">
        <x:v>3</x:v>
      </x:c>
      <x:c r="F13" s="14" t="n">
        <x:v>3</x:v>
      </x:c>
      <x:c r="G13" s="83"/>
      <x:c r="H13" s="83"/>
      <x:c r="I13" s="83"/>
      <x:c r="J13" s="28" t="n">
        <x:v>1</x:v>
      </x:c>
      <x:c r="K13" s="28" t="n">
        <x:v>2</x:v>
      </x:c>
      <x:c r="L13" s="28" t="n">
        <x:v>3</x:v>
      </x:c>
      <x:c r="M13" s="28" t="n">
        <x:v>4</x:v>
      </x:c>
      <x:c r="N13" s="28" t="n">
        <x:v>5</x:v>
      </x:c>
      <x:c r="O13" s="28" t="n">
        <x:v>6</x:v>
      </x:c>
      <x:c r="P13" s="28" t="n">
        <x:v>7</x:v>
      </x:c>
      <x:c r="Q13" s="28" t="n">
        <x:v>8</x:v>
      </x:c>
      <x:c r="R13" s="28" t="n">
        <x:v>9</x:v>
      </x:c>
      <x:c r="S13" s="28" t="n">
        <x:v>10</x:v>
      </x:c>
      <x:c r="T13" s="28" t="n">
        <x:v>11</x:v>
      </x:c>
      <x:c r="U13" s="28" t="n">
        <x:v>12</x:v>
      </x:c>
      <x:c r="V13" s="28" t="n">
        <x:v>13</x:v>
      </x:c>
      <x:c r="W13" s="28" t="n">
        <x:v>14</x:v>
      </x:c>
      <x:c r="X13" s="28" t="n">
        <x:v>15</x:v>
      </x:c>
      <x:c r="Y13" s="28" t="n">
        <x:v>16</x:v>
      </x:c>
      <x:c r="Z13" s="28" t="n">
        <x:v>17</x:v>
      </x:c>
      <x:c r="AA13" s="28" t="n">
        <x:v>18</x:v>
      </x:c>
      <x:c r="AB13" s="28" t="n">
        <x:v>19</x:v>
      </x:c>
      <x:c r="AC13" s="28" t="n">
        <x:v>20</x:v>
      </x:c>
    </x:row>
    <x:row r="14" ht="17" customHeight="1">
      <x:c r="A14" s="14" t="n">
        <x:v>8</x:v>
      </x:c>
      <x:c r="B14" s="14" t="n">
        <x:v>2</x:v>
      </x:c>
      <x:c r="C14" s="14" t="n">
        <x:v>2</x:v>
      </x:c>
      <x:c r="D14" s="14" t="n">
        <x:v>1</x:v>
      </x:c>
      <x:c r="E14" s="14" t="n">
        <x:v>2</x:v>
      </x:c>
      <x:c r="F14" s="14" t="n">
        <x:v>2</x:v>
      </x:c>
      <x:c r="G14" s="83"/>
      <x:c r="H14" s="83"/>
      <x:c r="I14" s="83"/>
      <x:c r="J14" s="32" t="str">
        <x:v>K</x:v>
      </x:c>
      <x:c r="K14" s="32" t="str">
        <x:v>Q</x:v>
      </x:c>
      <x:c r="L14" s="32" t="str">
        <x:v>J</x:v>
      </x:c>
      <x:c r="M14" s="32" t="str">
        <x:v>10</x:v>
      </x:c>
      <x:c r="N14" s="32" t="str">
        <x:v>9</x:v>
      </x:c>
      <x:c r="O14" s="32" t="str">
        <x:v>8</x:v>
      </x:c>
      <x:c r="P14" s="32" t="str">
        <x:v>7</x:v>
      </x:c>
      <x:c r="Q14" s="32" t="str">
        <x:v>K</x:v>
      </x:c>
      <x:c r="R14" s="32" t="str">
        <x:v>Q</x:v>
      </x:c>
      <x:c r="S14" s="32" t="str">
        <x:v>J</x:v>
      </x:c>
      <x:c r="T14" s="32" t="str">
        <x:v>10</x:v>
      </x:c>
      <x:c r="U14" s="32" t="str">
        <x:v>9</x:v>
      </x:c>
      <x:c r="V14" s="32" t="str">
        <x:v>8</x:v>
      </x:c>
      <x:c r="W14" s="32" t="str">
        <x:v>7</x:v>
      </x:c>
      <x:c r="X14" s="32" t="str">
        <x:v>K</x:v>
      </x:c>
      <x:c r="Y14" s="32" t="str">
        <x:v>Q</x:v>
      </x:c>
      <x:c r="Z14" s="32" t="str">
        <x:v>10</x:v>
      </x:c>
      <x:c r="AA14" s="32" t="str">
        <x:v>9</x:v>
      </x:c>
      <x:c r="AB14" s="32" t="str">
        <x:v>8</x:v>
      </x:c>
      <x:c r="AC14" s="32" t="str">
        <x:v>7</x:v>
      </x:c>
    </x:row>
    <x:row r="15" ht="17" customHeight="1">
      <x:c r="A15" s="14" t="n">
        <x:v>9</x:v>
      </x:c>
      <x:c r="B15" s="14" t="n">
        <x:v>2</x:v>
      </x:c>
      <x:c r="C15" s="14" t="n">
        <x:v>2</x:v>
      </x:c>
      <x:c r="D15" s="14" t="n">
        <x:v>3</x:v>
      </x:c>
      <x:c r="E15" s="14" t="n">
        <x:v>2</x:v>
      </x:c>
      <x:c r="F15" s="14" t="n">
        <x:v>2</x:v>
      </x:c>
      <x:c r="G15" s="83"/>
      <x:c r="H15" s="83"/>
      <x:c r="I15" s="83"/>
      <x:c r="J15" s="32" t="str">
        <x:v>K</x:v>
      </x:c>
      <x:c r="K15" s="32" t="str">
        <x:v>Q</x:v>
      </x:c>
      <x:c r="L15" s="32" t="str">
        <x:v>J</x:v>
      </x:c>
      <x:c r="M15" s="32" t="str">
        <x:v>10</x:v>
      </x:c>
      <x:c r="N15" s="32" t="str">
        <x:v>9</x:v>
      </x:c>
      <x:c r="O15" s="32" t="str">
        <x:v>8</x:v>
      </x:c>
      <x:c r="P15" s="32" t="str">
        <x:v>7</x:v>
      </x:c>
      <x:c r="Q15" s="32" t="str">
        <x:v>K</x:v>
      </x:c>
      <x:c r="R15" s="32" t="str">
        <x:v>Q</x:v>
      </x:c>
      <x:c r="S15" s="32" t="str">
        <x:v>J</x:v>
      </x:c>
      <x:c r="T15" s="32" t="str">
        <x:v>10</x:v>
      </x:c>
      <x:c r="U15" s="32" t="str">
        <x:v>9</x:v>
      </x:c>
      <x:c r="V15" s="32" t="str">
        <x:v>8</x:v>
      </x:c>
      <x:c r="W15" s="32" t="str">
        <x:v>7</x:v>
      </x:c>
      <x:c r="X15" s="32" t="str">
        <x:v>K</x:v>
      </x:c>
      <x:c r="Y15" s="32" t="str">
        <x:v>Q</x:v>
      </x:c>
      <x:c r="Z15" s="32" t="str">
        <x:v>10</x:v>
      </x:c>
      <x:c r="AA15" s="32" t="str">
        <x:v>9</x:v>
      </x:c>
      <x:c r="AB15" s="32" t="str">
        <x:v>8</x:v>
      </x:c>
      <x:c r="AC15" s="32" t="str">
        <x:v>7</x:v>
      </x:c>
    </x:row>
    <x:row r="16" ht="17" customHeight="1">
      <x:c r="A16" s="14" t="n">
        <x:v>10</x:v>
      </x:c>
      <x:c r="B16" s="14" t="n">
        <x:v>1</x:v>
      </x:c>
      <x:c r="C16" s="14" t="n">
        <x:v>2</x:v>
      </x:c>
      <x:c r="D16" s="14" t="n">
        <x:v>2</x:v>
      </x:c>
      <x:c r="E16" s="14" t="n">
        <x:v>2</x:v>
      </x:c>
      <x:c r="F16" s="14" t="n">
        <x:v>1</x:v>
      </x:c>
      <x:c r="G16" s="83"/>
      <x:c r="H16" s="83"/>
      <x:c r="I16" s="83"/>
      <x:c r="J16" s="32" t="str">
        <x:v>K</x:v>
      </x:c>
      <x:c r="K16" s="32" t="str">
        <x:v>Q</x:v>
      </x:c>
      <x:c r="L16" s="32" t="str">
        <x:v>J</x:v>
      </x:c>
      <x:c r="M16" s="32" t="str">
        <x:v>10</x:v>
      </x:c>
      <x:c r="N16" s="32" t="str">
        <x:v>9</x:v>
      </x:c>
      <x:c r="O16" s="32" t="str">
        <x:v>8</x:v>
      </x:c>
      <x:c r="P16" s="32" t="str">
        <x:v>7</x:v>
      </x:c>
      <x:c r="Q16" s="32" t="str">
        <x:v>K</x:v>
      </x:c>
      <x:c r="R16" s="32" t="str">
        <x:v>Q</x:v>
      </x:c>
      <x:c r="S16" s="32" t="str">
        <x:v>J</x:v>
      </x:c>
      <x:c r="T16" s="32" t="str">
        <x:v>10</x:v>
      </x:c>
      <x:c r="U16" s="32" t="str">
        <x:v>9</x:v>
      </x:c>
      <x:c r="V16" s="32" t="str">
        <x:v>8</x:v>
      </x:c>
      <x:c r="W16" s="32" t="str">
        <x:v>7</x:v>
      </x:c>
      <x:c r="X16" s="32" t="str">
        <x:v>K</x:v>
      </x:c>
      <x:c r="Y16" s="32" t="str">
        <x:v>Q</x:v>
      </x:c>
      <x:c r="Z16" s="32" t="str">
        <x:v>10</x:v>
      </x:c>
      <x:c r="AA16" s="32" t="str">
        <x:v>9</x:v>
      </x:c>
      <x:c r="AB16" s="32" t="str">
        <x:v>8</x:v>
      </x:c>
      <x:c r="AC16" s="32" t="str">
        <x:v>7</x:v>
      </x:c>
    </x:row>
    <x:row r="17" ht="17" customHeight="1">
      <x:c r="A17" s="14" t="n">
        <x:v>11</x:v>
      </x:c>
      <x:c r="B17" s="14" t="n">
        <x:v>3</x:v>
      </x:c>
      <x:c r="C17" s="14" t="n">
        <x:v>2</x:v>
      </x:c>
      <x:c r="D17" s="14" t="n">
        <x:v>2</x:v>
      </x:c>
      <x:c r="E17" s="14" t="n">
        <x:v>2</x:v>
      </x:c>
      <x:c r="F17" s="14" t="n">
        <x:v>3</x:v>
      </x:c>
      <x:c r="G17" s="83"/>
      <x:c r="H17" s="83"/>
      <x:c r="I17" s="83"/>
      <x:c r="J17" s="32" t="str">
        <x:v>K</x:v>
      </x:c>
      <x:c r="K17" s="32" t="str">
        <x:v>Q</x:v>
      </x:c>
      <x:c r="L17" s="32" t="str">
        <x:v>J</x:v>
      </x:c>
      <x:c r="M17" s="32" t="str">
        <x:v>10</x:v>
      </x:c>
      <x:c r="N17" s="32" t="str">
        <x:v>9</x:v>
      </x:c>
      <x:c r="O17" s="32" t="str">
        <x:v>8</x:v>
      </x:c>
      <x:c r="P17" s="32" t="str">
        <x:v>7</x:v>
      </x:c>
      <x:c r="Q17" s="32" t="str">
        <x:v>K</x:v>
      </x:c>
      <x:c r="R17" s="32" t="str">
        <x:v>Q</x:v>
      </x:c>
      <x:c r="S17" s="32" t="str">
        <x:v>J</x:v>
      </x:c>
      <x:c r="T17" s="32" t="str">
        <x:v>10</x:v>
      </x:c>
      <x:c r="U17" s="32" t="str">
        <x:v>9</x:v>
      </x:c>
      <x:c r="V17" s="32" t="str">
        <x:v>8</x:v>
      </x:c>
      <x:c r="W17" s="32" t="str">
        <x:v>7</x:v>
      </x:c>
      <x:c r="X17" s="32" t="str">
        <x:v>K</x:v>
      </x:c>
      <x:c r="Y17" s="32" t="str">
        <x:v>Q</x:v>
      </x:c>
      <x:c r="Z17" s="32" t="str">
        <x:v>10</x:v>
      </x:c>
      <x:c r="AA17" s="32" t="str">
        <x:v>9</x:v>
      </x:c>
      <x:c r="AB17" s="32" t="str">
        <x:v>8</x:v>
      </x:c>
      <x:c r="AC17" s="32" t="str">
        <x:v>7</x:v>
      </x:c>
    </x:row>
    <x:row r="18" ht="17" customHeight="1">
      <x:c r="A18" s="14" t="n">
        <x:v>12</x:v>
      </x:c>
      <x:c r="B18" s="14" t="n">
        <x:v>2</x:v>
      </x:c>
      <x:c r="C18" s="14" t="n">
        <x:v>1</x:v>
      </x:c>
      <x:c r="D18" s="14" t="n">
        <x:v>1</x:v>
      </x:c>
      <x:c r="E18" s="14" t="n">
        <x:v>1</x:v>
      </x:c>
      <x:c r="F18" s="14" t="n">
        <x:v>2</x:v>
      </x:c>
      <x:c r="G18" s="83"/>
      <x:c r="H18" s="83"/>
      <x:c r="I18" s="83"/>
      <x:c r="J18" s="32" t="str">
        <x:v>K</x:v>
      </x:c>
      <x:c r="K18" s="32" t="str">
        <x:v>Q</x:v>
      </x:c>
      <x:c r="L18" s="32" t="str">
        <x:v>J</x:v>
      </x:c>
      <x:c r="M18" s="32" t="str">
        <x:v>10</x:v>
      </x:c>
      <x:c r="N18" s="32" t="str">
        <x:v>9</x:v>
      </x:c>
      <x:c r="O18" s="32" t="str">
        <x:v>8</x:v>
      </x:c>
      <x:c r="P18" s="32" t="str">
        <x:v>7</x:v>
      </x:c>
      <x:c r="Q18" s="32" t="str">
        <x:v>K</x:v>
      </x:c>
      <x:c r="R18" s="32" t="str">
        <x:v>Q</x:v>
      </x:c>
      <x:c r="S18" s="32" t="str">
        <x:v>J</x:v>
      </x:c>
      <x:c r="T18" s="32" t="str">
        <x:v>10</x:v>
      </x:c>
      <x:c r="U18" s="32" t="str">
        <x:v>9</x:v>
      </x:c>
      <x:c r="V18" s="32" t="str">
        <x:v>8</x:v>
      </x:c>
      <x:c r="W18" s="32" t="str">
        <x:v>7</x:v>
      </x:c>
      <x:c r="X18" s="32" t="str">
        <x:v>K</x:v>
      </x:c>
      <x:c r="Y18" s="32" t="str">
        <x:v>Q</x:v>
      </x:c>
      <x:c r="Z18" s="32" t="str">
        <x:v>10</x:v>
      </x:c>
      <x:c r="AA18" s="32" t="str">
        <x:v>9</x:v>
      </x:c>
      <x:c r="AB18" s="32" t="str">
        <x:v>8</x:v>
      </x:c>
      <x:c r="AC18" s="32" t="str">
        <x:v>7</x:v>
      </x:c>
    </x:row>
    <x:row r="19" ht="17" customHeight="1">
      <x:c r="A19" s="14" t="n">
        <x:v>13</x:v>
      </x:c>
      <x:c r="B19" s="14" t="n">
        <x:v>2</x:v>
      </x:c>
      <x:c r="C19" s="14" t="n">
        <x:v>3</x:v>
      </x:c>
      <x:c r="D19" s="14" t="n">
        <x:v>3</x:v>
      </x:c>
      <x:c r="E19" s="14" t="n">
        <x:v>3</x:v>
      </x:c>
      <x:c r="F19" s="14" t="n">
        <x:v>2</x:v>
      </x:c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  <x:c r="AA19" s="83"/>
      <x:c r="AB19" s="83"/>
      <x:c r="AC19" s="83"/>
    </x:row>
    <x:row r="20" ht="17" customHeight="1">
      <x:c r="A20" s="14" t="n">
        <x:v>14</x:v>
      </x:c>
      <x:c r="B20" s="14" t="n">
        <x:v>1</x:v>
      </x:c>
      <x:c r="C20" s="14" t="n">
        <x:v>2</x:v>
      </x:c>
      <x:c r="D20" s="14" t="n">
        <x:v>1</x:v>
      </x:c>
      <x:c r="E20" s="14" t="n">
        <x:v>2</x:v>
      </x:c>
      <x:c r="F20" s="14" t="n">
        <x:v>1</x:v>
      </x:c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  <x:c r="AA20" s="83"/>
      <x:c r="AB20" s="83"/>
      <x:c r="AC20" s="83"/>
    </x:row>
    <x:row r="21" ht="17" customHeight="1">
      <x:c r="A21" s="14" t="n">
        <x:v>15</x:v>
      </x:c>
      <x:c r="B21" s="14" t="n">
        <x:v>3</x:v>
      </x:c>
      <x:c r="C21" s="14" t="n">
        <x:v>2</x:v>
      </x:c>
      <x:c r="D21" s="14" t="n">
        <x:v>3</x:v>
      </x:c>
      <x:c r="E21" s="14" t="n">
        <x:v>2</x:v>
      </x:c>
      <x:c r="F21" s="14" t="n">
        <x:v>3</x:v>
      </x:c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  <x:c r="AA21" s="83"/>
      <x:c r="AB21" s="83"/>
      <x:c r="AC21" s="83"/>
    </x:row>
    <x:row r="22" ht="17" customHeight="1">
      <x:c r="A22" s="14" t="n">
        <x:v>16</x:v>
      </x:c>
      <x:c r="B22" s="14" t="n">
        <x:v>2</x:v>
      </x:c>
      <x:c r="C22" s="14" t="n">
        <x:v>1</x:v>
      </x:c>
      <x:c r="D22" s="14" t="n">
        <x:v>2</x:v>
      </x:c>
      <x:c r="E22" s="14" t="n">
        <x:v>1</x:v>
      </x:c>
      <x:c r="F22" s="14" t="n">
        <x:v>2</x:v>
      </x:c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  <x:c r="AA22" s="83"/>
      <x:c r="AB22" s="83"/>
      <x:c r="AC22" s="83"/>
    </x:row>
    <x:row r="23" ht="17" customHeight="1">
      <x:c r="A23" s="14" t="n">
        <x:v>17</x:v>
      </x:c>
      <x:c r="B23" s="14" t="n">
        <x:v>2</x:v>
      </x:c>
      <x:c r="C23" s="14" t="n">
        <x:v>3</x:v>
      </x:c>
      <x:c r="D23" s="14" t="n">
        <x:v>2</x:v>
      </x:c>
      <x:c r="E23" s="14" t="n">
        <x:v>3</x:v>
      </x:c>
      <x:c r="F23" s="14" t="n">
        <x:v>2</x:v>
      </x:c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  <x:c r="AA23" s="83"/>
      <x:c r="AB23" s="83"/>
      <x:c r="AC23" s="83"/>
    </x:row>
    <x:row r="24" ht="17" customHeight="1">
      <x:c r="A24" s="14" t="n">
        <x:v>18</x:v>
      </x:c>
      <x:c r="B24" s="14" t="n">
        <x:v>1</x:v>
      </x:c>
      <x:c r="C24" s="14" t="n">
        <x:v>1</x:v>
      </x:c>
      <x:c r="D24" s="14" t="n">
        <x:v>2</x:v>
      </x:c>
      <x:c r="E24" s="14" t="n">
        <x:v>3</x:v>
      </x:c>
      <x:c r="F24" s="14" t="n">
        <x:v>3</x:v>
      </x:c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  <x:c r="AA24" s="83"/>
      <x:c r="AB24" s="83"/>
      <x:c r="AC24" s="83"/>
    </x:row>
    <x:row r="25" ht="17" customHeight="1">
      <x:c r="A25" s="14" t="n">
        <x:v>19</x:v>
      </x:c>
      <x:c r="B25" s="14" t="n">
        <x:v>3</x:v>
      </x:c>
      <x:c r="C25" s="14" t="n">
        <x:v>3</x:v>
      </x:c>
      <x:c r="D25" s="14" t="n">
        <x:v>2</x:v>
      </x:c>
      <x:c r="E25" s="14" t="n">
        <x:v>1</x:v>
      </x:c>
      <x:c r="F25" s="14" t="n">
        <x:v>1</x:v>
      </x:c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  <x:c r="AA25" s="83"/>
      <x:c r="AB25" s="83"/>
      <x:c r="AC25" s="83"/>
    </x:row>
    <x:row r="26" ht="17" customHeight="1">
      <x:c r="A26" s="14" t="n">
        <x:v>20</x:v>
      </x:c>
      <x:c r="B26" s="14" t="n">
        <x:v>1</x:v>
      </x:c>
      <x:c r="C26" s="14" t="n">
        <x:v>2</x:v>
      </x:c>
      <x:c r="D26" s="14" t="n">
        <x:v>3</x:v>
      </x:c>
      <x:c r="E26" s="14" t="n">
        <x:v>3</x:v>
      </x:c>
      <x:c r="F26" s="14" t="n">
        <x:v>2</x:v>
      </x:c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  <x:c r="AA26" s="83"/>
      <x:c r="AB26" s="83"/>
      <x:c r="AC26" s="83"/>
    </x:row>
    <x:row r="27">
      <x:c r="A27" s="87" t="str">
        <x:v>1 / 2 / 3 = 顶行 / 中行 / 底行；两档共用同一线图。</x:v>
      </x:c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  <x:c r="AA27" s="83"/>
      <x:c r="AB27" s="83"/>
      <x:c r="AC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  <x:c r="AA28" s="83"/>
      <x:c r="AB28" s="83"/>
      <x:c r="AC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  <x:c r="AA29" s="83"/>
      <x:c r="AB29" s="83"/>
      <x:c r="AC29" s="83"/>
    </x:row>
    <x:row r="30">
      <x:c r="A30" s="86" t="str">
        <x:v>共享蓄水池</x:v>
      </x:c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  <x:c r="AA30" s="83"/>
      <x:c r="AB30" s="83"/>
      <x:c r="AC30" s="83"/>
    </x:row>
    <x:row r="31">
      <x:c r="A31" s="10" t="str">
        <x:v>阶段</x:v>
      </x:c>
      <x:c r="B31" s="10" t="str">
        <x:v>规则</x:v>
      </x:c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  <x:c r="AA31" s="83"/>
      <x:c r="AB31" s="83"/>
      <x:c r="AC31" s="83"/>
    </x:row>
    <x:row r="32">
      <x:c r="A32" s="18" t="str">
        <x:v>加分</x:v>
      </x:c>
      <x:c r="B32" s="19" t="str">
        <x:v>每条 Base game 中奖线：max(1, round(赔率 × 2)) 分</x:v>
      </x:c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  <x:c r="AA32" s="83"/>
      <x:c r="AB32" s="83"/>
      <x:c r="AC32" s="83"/>
    </x:row>
    <x:row r="33">
      <x:c r="A33" s="18" t="str">
        <x:v>触发</x:v>
      </x:c>
      <x:c r="B33" s="19" t="str">
        <x:v>累计到 100 分，触发 1 次 Free Spin</x:v>
      </x:c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  <x:c r="AA33" s="83"/>
      <x:c r="AB33" s="83"/>
      <x:c r="AC33" s="83"/>
    </x:row>
    <x:row r="34">
      <x:c r="A34" s="18" t="str">
        <x:v>Free Spin</x:v>
      </x:c>
      <x:c r="B34" s="19" t="str">
        <x:v>1 次；普通线奖 ×2；FS 内不给蓄水池加分</x:v>
      </x:c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  <x:c r="AA34" s="83"/>
      <x:c r="AB34" s="83"/>
      <x:c r="AC34" s="83"/>
    </x:row>
    <x:row r="35">
      <x:c r="A35" s="18" t="str">
        <x:v>清零</x:v>
      </x:c>
      <x:c r="B35" s="19" t="str">
        <x:v>触发后水位归零，不保留溢出</x:v>
      </x:c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  <x:c r="AA35" s="83"/>
      <x:c r="AB35" s="83"/>
      <x:c r="AC35" s="83"/>
    </x:row>
    <x:row r="36">
      <x:c r="A36" s="18" t="str">
        <x:v>边界</x:v>
      </x:c>
      <x:c r="B36" s="19" t="str">
        <x:v>只在 Base game 加分；无 Feature Buy</x:v>
      </x:c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  <x:c r="AA36" s="83"/>
      <x:c r="AB36" s="83"/>
      <x:c r="AC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  <x:c r="AA37" s="83"/>
      <x:c r="AB37" s="83"/>
      <x:c r="AC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  <x:c r="AA38" s="83"/>
      <x:c r="AB38" s="83"/>
      <x:c r="AC38" s="83"/>
    </x:row>
    <x:row r="39">
      <x:c r="A39" s="86" t="str">
        <x:v>两档赔率</x:v>
      </x:c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  <x:c r="AA39" s="83"/>
      <x:c r="AB39" s="83"/>
      <x:c r="AC39" s="83"/>
    </x:row>
    <x:row r="40">
      <x:c r="A40" s="10" t="str">
        <x:v>符号</x:v>
      </x:c>
      <x:c r="B40" s="10" t="str">
        <x:v>Beginner 3</x:v>
      </x:c>
      <x:c r="C40" s="10" t="str">
        <x:v>Beginner 4</x:v>
      </x:c>
      <x:c r="D40" s="10" t="str">
        <x:v>Beginner 5</x:v>
      </x:c>
      <x:c r="E40" s="10" t="str">
        <x:v>Advanced 3</x:v>
      </x:c>
      <x:c r="F40" s="10" t="str">
        <x:v>Advanced 4</x:v>
      </x:c>
      <x:c r="G40" s="10" t="str">
        <x:v>Advanced 5</x:v>
      </x:c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  <x:c r="AA40" s="83"/>
      <x:c r="AB40" s="83"/>
      <x:c r="AC40" s="83"/>
    </x:row>
    <x:row r="41">
      <x:c r="A41" s="22" t="str">
        <x:v>K</x:v>
      </x:c>
      <x:c r="B41" s="23" t="n">
        <x:v>2</x:v>
      </x:c>
      <x:c r="C41" s="23" t="n">
        <x:v>5</x:v>
      </x:c>
      <x:c r="D41" s="23" t="n">
        <x:v>30</x:v>
      </x:c>
      <x:c r="E41" s="23" t="n">
        <x:v>1.5</x:v>
      </x:c>
      <x:c r="F41" s="23" t="n">
        <x:v>10</x:v>
      </x:c>
      <x:c r="G41" s="23" t="n">
        <x:v>80</x:v>
      </x:c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  <x:c r="AA41" s="83"/>
      <x:c r="AB41" s="83"/>
      <x:c r="AC41" s="83"/>
    </x:row>
    <x:row r="42">
      <x:c r="A42" s="22" t="str">
        <x:v>Q</x:v>
      </x:c>
      <x:c r="B42" s="23" t="n">
        <x:v>1</x:v>
      </x:c>
      <x:c r="C42" s="23" t="n">
        <x:v>3</x:v>
      </x:c>
      <x:c r="D42" s="23" t="n">
        <x:v>15</x:v>
      </x:c>
      <x:c r="E42" s="23" t="n">
        <x:v>1</x:v>
      </x:c>
      <x:c r="F42" s="23" t="n">
        <x:v>5</x:v>
      </x:c>
      <x:c r="G42" s="23" t="n">
        <x:v>40</x:v>
      </x:c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  <x:c r="AA42" s="83"/>
      <x:c r="AB42" s="83"/>
      <x:c r="AC42" s="83"/>
    </x:row>
    <x:row r="43">
      <x:c r="A43" s="22" t="str">
        <x:v>J</x:v>
      </x:c>
      <x:c r="B43" s="23" t="n">
        <x:v>1</x:v>
      </x:c>
      <x:c r="C43" s="23" t="n">
        <x:v>3</x:v>
      </x:c>
      <x:c r="D43" s="23" t="n">
        <x:v>15</x:v>
      </x:c>
      <x:c r="E43" s="23" t="n">
        <x:v>1</x:v>
      </x:c>
      <x:c r="F43" s="23" t="n">
        <x:v>4</x:v>
      </x:c>
      <x:c r="G43" s="23" t="n">
        <x:v>40</x:v>
      </x:c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  <x:c r="AA43" s="83"/>
      <x:c r="AB43" s="83"/>
      <x:c r="AC43" s="83"/>
    </x:row>
    <x:row r="44">
      <x:c r="A44" s="22" t="str">
        <x:v>10</x:v>
      </x:c>
      <x:c r="B44" s="23" t="n">
        <x:v>0.8</x:v>
      </x:c>
      <x:c r="C44" s="23" t="n">
        <x:v>2</x:v>
      </x:c>
      <x:c r="D44" s="23" t="n">
        <x:v>10</x:v>
      </x:c>
      <x:c r="E44" s="23" t="n">
        <x:v>1</x:v>
      </x:c>
      <x:c r="F44" s="23" t="n">
        <x:v>2.5</x:v>
      </x:c>
      <x:c r="G44" s="23" t="n">
        <x:v>20</x:v>
      </x:c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  <x:c r="AA44" s="83"/>
      <x:c r="AB44" s="83"/>
      <x:c r="AC44" s="83"/>
    </x:row>
    <x:row r="45">
      <x:c r="A45" s="22" t="str">
        <x:v>9</x:v>
      </x:c>
      <x:c r="B45" s="23" t="n">
        <x:v>0.8</x:v>
      </x:c>
      <x:c r="C45" s="23" t="n">
        <x:v>2</x:v>
      </x:c>
      <x:c r="D45" s="23" t="n">
        <x:v>10</x:v>
      </x:c>
      <x:c r="E45" s="23" t="n">
        <x:v>1</x:v>
      </x:c>
      <x:c r="F45" s="23" t="n">
        <x:v>2.5</x:v>
      </x:c>
      <x:c r="G45" s="23" t="n">
        <x:v>20</x:v>
      </x:c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  <x:c r="AA45" s="83"/>
      <x:c r="AB45" s="83"/>
      <x:c r="AC45" s="83"/>
    </x:row>
    <x:row r="46">
      <x:c r="A46" s="22" t="str">
        <x:v>8</x:v>
      </x:c>
      <x:c r="B46" s="23" t="n">
        <x:v>0.8</x:v>
      </x:c>
      <x:c r="C46" s="23" t="n">
        <x:v>2</x:v>
      </x:c>
      <x:c r="D46" s="23" t="n">
        <x:v>10</x:v>
      </x:c>
      <x:c r="E46" s="23" t="n">
        <x:v>1</x:v>
      </x:c>
      <x:c r="F46" s="23" t="n">
        <x:v>2</x:v>
      </x:c>
      <x:c r="G46" s="23" t="n">
        <x:v>20</x:v>
      </x:c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  <x:c r="AA46" s="83"/>
      <x:c r="AB46" s="83"/>
      <x:c r="AC46" s="83"/>
    </x:row>
    <x:row r="47">
      <x:c r="A47" s="22" t="str">
        <x:v>7</x:v>
      </x:c>
      <x:c r="B47" s="23" t="n">
        <x:v>0.8</x:v>
      </x:c>
      <x:c r="C47" s="23" t="n">
        <x:v>1.5</x:v>
      </x:c>
      <x:c r="D47" s="23" t="n">
        <x:v>10</x:v>
      </x:c>
      <x:c r="E47" s="23" t="n">
        <x:v>1</x:v>
      </x:c>
      <x:c r="F47" s="23" t="n">
        <x:v>2</x:v>
      </x:c>
      <x:c r="G47" s="23" t="n">
        <x:v>20</x:v>
      </x:c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  <x:c r="AA47" s="83"/>
      <x:c r="AB47" s="83"/>
      <x:c r="AC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  <x:c r="AA48" s="83"/>
      <x:c r="AB48" s="83"/>
      <x:c r="AC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  <x:c r="AA49" s="83"/>
      <x:c r="AB49" s="83"/>
      <x:c r="AC49" s="83"/>
    </x:row>
    <x:row r="50">
      <x:c r="A50" s="88" t="str">
        <x:v>来源：slot_sim_20lines/config.json、版本说明.md、PatchNotes.md、20lines_02附交接.md。RTP 与模拟指标直接引用交接结果，不重跑 1M。</x:v>
      </x:c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  <x:c r="AA50" s="83"/>
      <x:c r="AB50" s="83"/>
      <x:c r="AC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  <x:c r="AA51" s="83"/>
      <x:c r="AB51" s="83"/>
      <x:c r="AC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  <x:c r="AA52" s="83"/>
      <x:c r="AB52" s="83"/>
      <x:c r="AC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  <x:c r="AA53" s="83"/>
      <x:c r="AB53" s="83"/>
      <x:c r="AC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  <x:c r="AA54" s="83"/>
      <x:c r="AB54" s="83"/>
      <x:c r="AC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  <x:c r="AA55" s="83"/>
      <x:c r="AB55" s="83"/>
      <x:c r="AC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  <x:c r="AA56" s="83"/>
      <x:c r="AB56" s="83"/>
      <x:c r="AC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  <x:c r="AA57" s="83"/>
      <x:c r="AB57" s="83"/>
      <x:c r="AC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  <x:c r="AA58" s="83"/>
      <x:c r="AB58" s="83"/>
      <x:c r="AC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  <x:c r="AA59" s="83"/>
      <x:c r="AB59" s="83"/>
      <x:c r="AC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  <x:c r="AA60" s="83"/>
      <x:c r="AB60" s="83"/>
      <x:c r="AC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  <x:c r="AA61" s="83"/>
      <x:c r="AB61" s="83"/>
      <x:c r="AC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  <x:c r="AA62" s="83"/>
      <x:c r="AB62" s="83"/>
      <x:c r="AC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  <x:c r="AA63" s="83"/>
      <x:c r="AB63" s="83"/>
      <x:c r="AC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  <x:c r="AA64" s="83"/>
      <x:c r="AB64" s="83"/>
      <x:c r="AC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  <x:c r="AA65" s="83"/>
      <x:c r="AB65" s="83"/>
      <x:c r="AC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  <x:c r="AA66" s="83"/>
      <x:c r="AB66" s="83"/>
      <x:c r="AC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  <x:c r="AA67" s="83"/>
      <x:c r="AB67" s="83"/>
      <x:c r="AC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  <x:c r="AA68" s="83"/>
      <x:c r="AB68" s="83"/>
      <x:c r="AC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  <x:c r="AA69" s="83"/>
      <x:c r="AB69" s="83"/>
      <x:c r="AC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  <x:c r="AA70" s="83"/>
      <x:c r="AB70" s="83"/>
      <x:c r="AC70" s="83"/>
    </x:row>
  </x:sheetData>
  <x:mergeCells>
    <x:mergeCell ref="A27:F27"/>
    <x:mergeCell ref="J3:AC3"/>
    <x:mergeCell ref="J12:AC12"/>
    <x:mergeCell ref="A50:G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65A75"/>
  </x:sheetPr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</x:cols>
  <x:sheetData>
    <x:row r="1">
      <x:c r="A1" s="82" t="str">
        <x:v>RTP 计算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  <x:c r="AA1" s="83"/>
      <x:c r="AB1" s="83"/>
      <x:c r="AC1" s="83"/>
    </x:row>
    <x:row r="2">
      <x:c r="A2" s="84" t="str">
        <x:v>优先级：U1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  <x:c r="AA2" s="83"/>
      <x:c r="AB2" s="83"/>
      <x:c r="AC2" s="83"/>
    </x:row>
    <x:row r="3">
      <x:c r="A3" s="89" t="str">
        <x:v>Base RTP 由 strips 与 paytable 公式生成；Feature、hit、SD 与 1M 结果引用交接输入。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  <x:c r="AA3" s="83"/>
      <x:c r="AB3" s="83"/>
      <x:c r="AC3" s="83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  <x:c r="AA4" s="83"/>
      <x:c r="AB4" s="83"/>
      <x:c r="AC4" s="83"/>
    </x:row>
    <x:row r="5">
      <x:c r="A5" s="86" t="str">
        <x:v>Beginner Base RTP</x:v>
      </x:c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  <x:c r="AA5" s="83"/>
      <x:c r="AB5" s="83"/>
      <x:c r="AC5" s="83"/>
    </x:row>
    <x:row r="6" ht="34" customHeight="1">
      <x:c r="A6" s="41" t="str">
        <x:v>符号</x:v>
      </x:c>
      <x:c r="B6" s="41" t="str">
        <x:v>P(Reel1)</x:v>
      </x:c>
      <x:c r="C6" s="41" t="str">
        <x:v>P(Reel2)</x:v>
      </x:c>
      <x:c r="D6" s="41" t="str">
        <x:v>P(Reel3)</x:v>
      </x:c>
      <x:c r="E6" s="41" t="str">
        <x:v>P(Reel4)</x:v>
      </x:c>
      <x:c r="F6" s="41" t="str">
        <x:v>P(Reel5)</x:v>
      </x:c>
      <x:c r="G6" s="41" t="str">
        <x:v>恰好3</x:v>
      </x:c>
      <x:c r="H6" s="41" t="str">
        <x:v>恰好4</x:v>
      </x:c>
      <x:c r="I6" s="41" t="str">
        <x:v>恰好5</x:v>
      </x:c>
      <x:c r="J6" s="41" t="str">
        <x:v>3连RTP</x:v>
      </x:c>
      <x:c r="K6" s="41" t="str">
        <x:v>4连RTP</x:v>
      </x:c>
      <x:c r="L6" s="41" t="str">
        <x:v>5连RTP</x:v>
      </x:c>
      <x:c r="M6" s="41" t="str">
        <x:v>合计</x:v>
      </x:c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  <x:c r="AA6" s="83"/>
      <x:c r="AB6" s="83"/>
      <x:c r="AC6" s="83"/>
    </x:row>
    <x:row r="7">
      <x:c r="A7" s="13" t="str">
        <x:v>K</x:v>
      </x:c>
      <x:c r="B7" s="42" t="n">
        <x:f>SUMPRODUCT(--('01_ParSheet'!J5:AC5=$A7))/COUNTA('01_ParSheet'!J5:AC5)</x:f>
        <x:v>0.1</x:v>
      </x:c>
      <x:c r="C7" s="42" t="n">
        <x:f>SUMPRODUCT(--('01_ParSheet'!J6:AC6=$A7))/COUNTA('01_ParSheet'!J6:AC6)</x:f>
        <x:v>0.1</x:v>
      </x:c>
      <x:c r="D7" s="42" t="n">
        <x:f>SUMPRODUCT(--('01_ParSheet'!J7:AC7=$A7))/COUNTA('01_ParSheet'!J7:AC7)</x:f>
        <x:v>0.1</x:v>
      </x:c>
      <x:c r="E7" s="42" t="n">
        <x:f>SUMPRODUCT(--('01_ParSheet'!J8:AC8=$A7))/COUNTA('01_ParSheet'!J8:AC8)</x:f>
        <x:v>0.1</x:v>
      </x:c>
      <x:c r="F7" s="42" t="n">
        <x:f>SUMPRODUCT(--('01_ParSheet'!J9:AC9=$A7))/COUNTA('01_ParSheet'!J9:AC9)</x:f>
        <x:v>0.1</x:v>
      </x:c>
      <x:c r="G7" s="43" t="n">
        <x:f>B7*C7*D7*(1-E7)</x:f>
        <x:v>0.0009000000000000002</x:v>
      </x:c>
      <x:c r="H7" s="43" t="n">
        <x:f>B7*C7*D7*E7*(1-F7)</x:f>
        <x:v>0.00009000000000000003</x:v>
      </x:c>
      <x:c r="I7" s="43" t="n">
        <x:f>PRODUCT(B7:F7)</x:f>
        <x:v>0.000010000000000000004</x:v>
      </x:c>
      <x:c r="J7" s="42" t="n">
        <x:f>'01_ParSheet'!B41*G7</x:f>
        <x:v>0.0018000000000000004</x:v>
      </x:c>
      <x:c r="K7" s="42" t="n">
        <x:f>'01_ParSheet'!C41*H7</x:f>
        <x:v>0.00045000000000000015</x:v>
      </x:c>
      <x:c r="L7" s="42" t="n">
        <x:f>'01_ParSheet'!D41*I7</x:f>
        <x:v>0.00030000000000000014</x:v>
      </x:c>
      <x:c r="M7" s="42" t="n">
        <x:f>SUM(J7:L7)</x:f>
        <x:v>0.002550000000000001</x:v>
      </x:c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3"/>
    </x:row>
    <x:row r="8">
      <x:c r="A8" s="13" t="str">
        <x:v>Q</x:v>
      </x:c>
      <x:c r="B8" s="42" t="n">
        <x:f>SUMPRODUCT(--('01_ParSheet'!J5:AC5=$A8))/COUNTA('01_ParSheet'!J5:AC5)</x:f>
        <x:v>0.1</x:v>
      </x:c>
      <x:c r="C8" s="42" t="n">
        <x:f>SUMPRODUCT(--('01_ParSheet'!J6:AC6=$A8))/COUNTA('01_ParSheet'!J6:AC6)</x:f>
        <x:v>0.1</x:v>
      </x:c>
      <x:c r="D8" s="42" t="n">
        <x:f>SUMPRODUCT(--('01_ParSheet'!J7:AC7=$A8))/COUNTA('01_ParSheet'!J7:AC7)</x:f>
        <x:v>0.1</x:v>
      </x:c>
      <x:c r="E8" s="42" t="n">
        <x:f>SUMPRODUCT(--('01_ParSheet'!J8:AC8=$A8))/COUNTA('01_ParSheet'!J8:AC8)</x:f>
        <x:v>0.1</x:v>
      </x:c>
      <x:c r="F8" s="42" t="n">
        <x:f>SUMPRODUCT(--('01_ParSheet'!J9:AC9=$A8))/COUNTA('01_ParSheet'!J9:AC9)</x:f>
        <x:v>0.1</x:v>
      </x:c>
      <x:c r="G8" s="43" t="n">
        <x:f>B8*C8*D8*(1-E8)</x:f>
        <x:v>0.0009000000000000002</x:v>
      </x:c>
      <x:c r="H8" s="43" t="n">
        <x:f>B8*C8*D8*E8*(1-F8)</x:f>
        <x:v>0.00009000000000000003</x:v>
      </x:c>
      <x:c r="I8" s="43" t="n">
        <x:f>PRODUCT(B8:F8)</x:f>
        <x:v>0.000010000000000000004</x:v>
      </x:c>
      <x:c r="J8" s="42" t="n">
        <x:f>'01_ParSheet'!B42*G8</x:f>
        <x:v>0.0009000000000000002</x:v>
      </x:c>
      <x:c r="K8" s="42" t="n">
        <x:f>'01_ParSheet'!C42*H8</x:f>
        <x:v>0.0002700000000000001</x:v>
      </x:c>
      <x:c r="L8" s="42" t="n">
        <x:f>'01_ParSheet'!D42*I8</x:f>
        <x:v>0.00015000000000000007</x:v>
      </x:c>
      <x:c r="M8" s="42" t="n">
        <x:f>SUM(J8:L8)</x:f>
        <x:v>0.0013200000000000004</x:v>
      </x:c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  <x:c r="AA8" s="83"/>
      <x:c r="AB8" s="83"/>
      <x:c r="AC8" s="83"/>
    </x:row>
    <x:row r="9">
      <x:c r="A9" s="13" t="str">
        <x:v>J</x:v>
      </x:c>
      <x:c r="B9" s="42" t="n">
        <x:f>SUMPRODUCT(--('01_ParSheet'!J5:AC5=$A9))/COUNTA('01_ParSheet'!J5:AC5)</x:f>
        <x:v>0.1</x:v>
      </x:c>
      <x:c r="C9" s="42" t="n">
        <x:f>SUMPRODUCT(--('01_ParSheet'!J6:AC6=$A9))/COUNTA('01_ParSheet'!J6:AC6)</x:f>
        <x:v>0.1</x:v>
      </x:c>
      <x:c r="D9" s="42" t="n">
        <x:f>SUMPRODUCT(--('01_ParSheet'!J7:AC7=$A9))/COUNTA('01_ParSheet'!J7:AC7)</x:f>
        <x:v>0.1</x:v>
      </x:c>
      <x:c r="E9" s="42" t="n">
        <x:f>SUMPRODUCT(--('01_ParSheet'!J8:AC8=$A9))/COUNTA('01_ParSheet'!J8:AC8)</x:f>
        <x:v>0.1</x:v>
      </x:c>
      <x:c r="F9" s="42" t="n">
        <x:f>SUMPRODUCT(--('01_ParSheet'!J9:AC9=$A9))/COUNTA('01_ParSheet'!J9:AC9)</x:f>
        <x:v>0.1</x:v>
      </x:c>
      <x:c r="G9" s="43" t="n">
        <x:f>B9*C9*D9*(1-E9)</x:f>
        <x:v>0.0009000000000000002</x:v>
      </x:c>
      <x:c r="H9" s="43" t="n">
        <x:f>B9*C9*D9*E9*(1-F9)</x:f>
        <x:v>0.00009000000000000003</x:v>
      </x:c>
      <x:c r="I9" s="43" t="n">
        <x:f>PRODUCT(B9:F9)</x:f>
        <x:v>0.000010000000000000004</x:v>
      </x:c>
      <x:c r="J9" s="42" t="n">
        <x:f>'01_ParSheet'!B43*G9</x:f>
        <x:v>0.0009000000000000002</x:v>
      </x:c>
      <x:c r="K9" s="42" t="n">
        <x:f>'01_ParSheet'!C43*H9</x:f>
        <x:v>0.0002700000000000001</x:v>
      </x:c>
      <x:c r="L9" s="42" t="n">
        <x:f>'01_ParSheet'!D43*I9</x:f>
        <x:v>0.00015000000000000007</x:v>
      </x:c>
      <x:c r="M9" s="42" t="n">
        <x:f>SUM(J9:L9)</x:f>
        <x:v>0.0013200000000000004</x:v>
      </x:c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</x:row>
    <x:row r="10">
      <x:c r="A10" s="13" t="str">
        <x:v>10</x:v>
      </x:c>
      <x:c r="B10" s="42" t="n">
        <x:f>SUMPRODUCT(--('01_ParSheet'!J5:AC5=$A10))/COUNTA('01_ParSheet'!J5:AC5)</x:f>
        <x:v>0.1</x:v>
      </x:c>
      <x:c r="C10" s="42" t="n">
        <x:f>SUMPRODUCT(--('01_ParSheet'!J6:AC6=$A10))/COUNTA('01_ParSheet'!J6:AC6)</x:f>
        <x:v>0.1</x:v>
      </x:c>
      <x:c r="D10" s="42" t="n">
        <x:f>SUMPRODUCT(--('01_ParSheet'!J7:AC7=$A10))/COUNTA('01_ParSheet'!J7:AC7)</x:f>
        <x:v>0.1</x:v>
      </x:c>
      <x:c r="E10" s="42" t="n">
        <x:f>SUMPRODUCT(--('01_ParSheet'!J8:AC8=$A10))/COUNTA('01_ParSheet'!J8:AC8)</x:f>
        <x:v>0.1</x:v>
      </x:c>
      <x:c r="F10" s="42" t="n">
        <x:f>SUMPRODUCT(--('01_ParSheet'!J9:AC9=$A10))/COUNTA('01_ParSheet'!J9:AC9)</x:f>
        <x:v>0.1</x:v>
      </x:c>
      <x:c r="G10" s="43" t="n">
        <x:f>B10*C10*D10*(1-E10)</x:f>
        <x:v>0.0009000000000000002</x:v>
      </x:c>
      <x:c r="H10" s="43" t="n">
        <x:f>B10*C10*D10*E10*(1-F10)</x:f>
        <x:v>0.00009000000000000003</x:v>
      </x:c>
      <x:c r="I10" s="43" t="n">
        <x:f>PRODUCT(B10:F10)</x:f>
        <x:v>0.000010000000000000004</x:v>
      </x:c>
      <x:c r="J10" s="42" t="n">
        <x:f>'01_ParSheet'!B44*G10</x:f>
        <x:v>0.0007200000000000002</x:v>
      </x:c>
      <x:c r="K10" s="42" t="n">
        <x:f>'01_ParSheet'!C44*H10</x:f>
        <x:v>0.00018000000000000007</x:v>
      </x:c>
      <x:c r="L10" s="42" t="n">
        <x:f>'01_ParSheet'!D44*I10</x:f>
        <x:v>0.00010000000000000005</x:v>
      </x:c>
      <x:c r="M10" s="42" t="n">
        <x:f>SUM(J10:L10)</x:f>
        <x:v>0.0010000000000000002</x:v>
      </x:c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  <x:c r="AA10" s="83"/>
      <x:c r="AB10" s="83"/>
      <x:c r="AC10" s="83"/>
    </x:row>
    <x:row r="11">
      <x:c r="A11" s="13" t="str">
        <x:v>9</x:v>
      </x:c>
      <x:c r="B11" s="42" t="n">
        <x:f>SUMPRODUCT(--('01_ParSheet'!J5:AC5=$A11))/COUNTA('01_ParSheet'!J5:AC5)</x:f>
        <x:v>0.25</x:v>
      </x:c>
      <x:c r="C11" s="42" t="n">
        <x:f>SUMPRODUCT(--('01_ParSheet'!J6:AC6=$A11))/COUNTA('01_ParSheet'!J6:AC6)</x:f>
        <x:v>0.25</x:v>
      </x:c>
      <x:c r="D11" s="42" t="n">
        <x:f>SUMPRODUCT(--('01_ParSheet'!J7:AC7=$A11))/COUNTA('01_ParSheet'!J7:AC7)</x:f>
        <x:v>0.25</x:v>
      </x:c>
      <x:c r="E11" s="42" t="n">
        <x:f>SUMPRODUCT(--('01_ParSheet'!J8:AC8=$A11))/COUNTA('01_ParSheet'!J8:AC8)</x:f>
        <x:v>0.25</x:v>
      </x:c>
      <x:c r="F11" s="42" t="n">
        <x:f>SUMPRODUCT(--('01_ParSheet'!J9:AC9=$A11))/COUNTA('01_ParSheet'!J9:AC9)</x:f>
        <x:v>0.25</x:v>
      </x:c>
      <x:c r="G11" s="43" t="n">
        <x:f>B11*C11*D11*(1-E11)</x:f>
        <x:v>0.01171875</x:v>
      </x:c>
      <x:c r="H11" s="43" t="n">
        <x:f>B11*C11*D11*E11*(1-F11)</x:f>
        <x:v>0.0029296875</x:v>
      </x:c>
      <x:c r="I11" s="43" t="n">
        <x:f>PRODUCT(B11:F11)</x:f>
        <x:v>0.0009765625</x:v>
      </x:c>
      <x:c r="J11" s="42" t="n">
        <x:f>'01_ParSheet'!B45*G11</x:f>
        <x:v>0.009375000000000001</x:v>
      </x:c>
      <x:c r="K11" s="42" t="n">
        <x:f>'01_ParSheet'!C45*H11</x:f>
        <x:v>0.005859375</x:v>
      </x:c>
      <x:c r="L11" s="42" t="n">
        <x:f>'01_ParSheet'!D45*I11</x:f>
        <x:v>0.009765625</x:v>
      </x:c>
      <x:c r="M11" s="42" t="n">
        <x:f>SUM(J11:L11)</x:f>
        <x:v>0.025</x:v>
      </x:c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  <x:c r="AA11" s="83"/>
      <x:c r="AB11" s="83"/>
      <x:c r="AC11" s="83"/>
    </x:row>
    <x:row r="12">
      <x:c r="A12" s="13" t="str">
        <x:v>8</x:v>
      </x:c>
      <x:c r="B12" s="42" t="n">
        <x:f>SUMPRODUCT(--('01_ParSheet'!J5:AC5=$A12))/COUNTA('01_ParSheet'!J5:AC5)</x:f>
        <x:v>0.2</x:v>
      </x:c>
      <x:c r="C12" s="42" t="n">
        <x:f>SUMPRODUCT(--('01_ParSheet'!J6:AC6=$A12))/COUNTA('01_ParSheet'!J6:AC6)</x:f>
        <x:v>0.2</x:v>
      </x:c>
      <x:c r="D12" s="42" t="n">
        <x:f>SUMPRODUCT(--('01_ParSheet'!J7:AC7=$A12))/COUNTA('01_ParSheet'!J7:AC7)</x:f>
        <x:v>0.2</x:v>
      </x:c>
      <x:c r="E12" s="42" t="n">
        <x:f>SUMPRODUCT(--('01_ParSheet'!J8:AC8=$A12))/COUNTA('01_ParSheet'!J8:AC8)</x:f>
        <x:v>0.2</x:v>
      </x:c>
      <x:c r="F12" s="42" t="n">
        <x:f>SUMPRODUCT(--('01_ParSheet'!J9:AC9=$A12))/COUNTA('01_ParSheet'!J9:AC9)</x:f>
        <x:v>0.2</x:v>
      </x:c>
      <x:c r="G12" s="43" t="n">
        <x:f>B12*C12*D12*(1-E12)</x:f>
        <x:v>0.006400000000000002</x:v>
      </x:c>
      <x:c r="H12" s="43" t="n">
        <x:f>B12*C12*D12*E12*(1-F12)</x:f>
        <x:v>0.0012800000000000005</x:v>
      </x:c>
      <x:c r="I12" s="43" t="n">
        <x:f>PRODUCT(B12:F12)</x:f>
        <x:v>0.00032000000000000013</x:v>
      </x:c>
      <x:c r="J12" s="42" t="n">
        <x:f>'01_ParSheet'!B46*G12</x:f>
        <x:v>0.005120000000000002</x:v>
      </x:c>
      <x:c r="K12" s="42" t="n">
        <x:f>'01_ParSheet'!C46*H12</x:f>
        <x:v>0.002560000000000001</x:v>
      </x:c>
      <x:c r="L12" s="42" t="n">
        <x:f>'01_ParSheet'!D46*I12</x:f>
        <x:v>0.0032000000000000015</x:v>
      </x:c>
      <x:c r="M12" s="42" t="n">
        <x:f>SUM(J12:L12)</x:f>
        <x:v>0.010880000000000004</x:v>
      </x:c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  <x:c r="AA12" s="83"/>
      <x:c r="AB12" s="83"/>
      <x:c r="AC12" s="83"/>
    </x:row>
    <x:row r="13">
      <x:c r="A13" s="13" t="str">
        <x:v>7</x:v>
      </x:c>
      <x:c r="B13" s="42" t="n">
        <x:f>SUMPRODUCT(--('01_ParSheet'!J5:AC5=$A13))/COUNTA('01_ParSheet'!J5:AC5)</x:f>
        <x:v>0.15</x:v>
      </x:c>
      <x:c r="C13" s="42" t="n">
        <x:f>SUMPRODUCT(--('01_ParSheet'!J6:AC6=$A13))/COUNTA('01_ParSheet'!J6:AC6)</x:f>
        <x:v>0.15</x:v>
      </x:c>
      <x:c r="D13" s="42" t="n">
        <x:f>SUMPRODUCT(--('01_ParSheet'!J7:AC7=$A13))/COUNTA('01_ParSheet'!J7:AC7)</x:f>
        <x:v>0.15</x:v>
      </x:c>
      <x:c r="E13" s="42" t="n">
        <x:f>SUMPRODUCT(--('01_ParSheet'!J8:AC8=$A13))/COUNTA('01_ParSheet'!J8:AC8)</x:f>
        <x:v>0.15</x:v>
      </x:c>
      <x:c r="F13" s="42" t="n">
        <x:f>SUMPRODUCT(--('01_ParSheet'!J9:AC9=$A13))/COUNTA('01_ParSheet'!J9:AC9)</x:f>
        <x:v>0.15</x:v>
      </x:c>
      <x:c r="G13" s="43" t="n">
        <x:f>B13*C13*D13*(1-E13)</x:f>
        <x:v>0.0028687499999999998</x:v>
      </x:c>
      <x:c r="H13" s="43" t="n">
        <x:f>B13*C13*D13*E13*(1-F13)</x:f>
        <x:v>0.0004303125</x:v>
      </x:c>
      <x:c r="I13" s="43" t="n">
        <x:f>PRODUCT(B13:F13)</x:f>
        <x:v>0.0000759375</x:v>
      </x:c>
      <x:c r="J13" s="42" t="n">
        <x:f>'01_ParSheet'!B47*G13</x:f>
        <x:v>0.0022949999999999997</x:v>
      </x:c>
      <x:c r="K13" s="42" t="n">
        <x:f>'01_ParSheet'!C47*H13</x:f>
        <x:v>0.00064546875</x:v>
      </x:c>
      <x:c r="L13" s="42" t="n">
        <x:f>'01_ParSheet'!D47*I13</x:f>
        <x:v>0.000759375</x:v>
      </x:c>
      <x:c r="M13" s="42" t="n">
        <x:f>SUM(J13:L13)</x:f>
        <x:v>0.0036998437499999996</x:v>
      </x:c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  <x:c r="AA13" s="83"/>
      <x:c r="AB13" s="83"/>
      <x:c r="AC13" s="83"/>
    </x:row>
    <x:row r="14">
      <x:c r="A14" s="44" t="str">
        <x:v>单线 RTP</x:v>
      </x:c>
      <x:c r="B14" s="44"/>
      <x:c r="C14" s="44"/>
      <x:c r="D14" s="44"/>
      <x:c r="E14" s="44"/>
      <x:c r="F14" s="44"/>
      <x:c r="G14" s="44"/>
      <x:c r="H14" s="44"/>
      <x:c r="I14" s="44"/>
      <x:c r="J14" s="45"/>
      <x:c r="K14" s="45"/>
      <x:c r="L14" s="45"/>
      <x:c r="M14" s="45" t="n">
        <x:f>SUM(M7:M13)</x:f>
        <x:v>0.04576984375000001</x:v>
      </x:c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  <x:c r="AA14" s="83"/>
      <x:c r="AB14" s="83"/>
      <x:c r="AC14" s="83"/>
    </x:row>
    <x:row r="15">
      <x:c r="A15" s="44" t="str">
        <x:v>Base RTP ×20 线</x:v>
      </x:c>
      <x:c r="B15" s="44"/>
      <x:c r="C15" s="44"/>
      <x:c r="D15" s="44"/>
      <x:c r="E15" s="44"/>
      <x:c r="F15" s="44"/>
      <x:c r="G15" s="44"/>
      <x:c r="H15" s="44"/>
      <x:c r="I15" s="44"/>
      <x:c r="J15" s="45"/>
      <x:c r="K15" s="45"/>
      <x:c r="L15" s="45"/>
      <x:c r="M15" s="45" t="n">
        <x:f>M14*20</x:f>
        <x:v>0.9153968750000002</x:v>
      </x:c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  <x:c r="AA15" s="83"/>
      <x:c r="AB15" s="83"/>
      <x:c r="AC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  <x:c r="AA16" s="83"/>
      <x:c r="AB16" s="83"/>
      <x:c r="AC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  <x:c r="AA17" s="83"/>
      <x:c r="AB17" s="83"/>
      <x:c r="AC17" s="83"/>
    </x:row>
    <x:row r="18">
      <x:c r="A18" s="86" t="str">
        <x:v>Advanced Base RTP</x:v>
      </x:c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  <x:c r="AA18" s="83"/>
      <x:c r="AB18" s="83"/>
      <x:c r="AC18" s="83"/>
    </x:row>
    <x:row r="19" ht="34" customHeight="1">
      <x:c r="A19" s="41" t="str">
        <x:v>符号</x:v>
      </x:c>
      <x:c r="B19" s="41" t="str">
        <x:v>P(Reel1)</x:v>
      </x:c>
      <x:c r="C19" s="41" t="str">
        <x:v>P(Reel2)</x:v>
      </x:c>
      <x:c r="D19" s="41" t="str">
        <x:v>P(Reel3)</x:v>
      </x:c>
      <x:c r="E19" s="41" t="str">
        <x:v>P(Reel4)</x:v>
      </x:c>
      <x:c r="F19" s="41" t="str">
        <x:v>P(Reel5)</x:v>
      </x:c>
      <x:c r="G19" s="41" t="str">
        <x:v>恰好3</x:v>
      </x:c>
      <x:c r="H19" s="41" t="str">
        <x:v>恰好4</x:v>
      </x:c>
      <x:c r="I19" s="41" t="str">
        <x:v>恰好5</x:v>
      </x:c>
      <x:c r="J19" s="41" t="str">
        <x:v>3连RTP</x:v>
      </x:c>
      <x:c r="K19" s="41" t="str">
        <x:v>4连RTP</x:v>
      </x:c>
      <x:c r="L19" s="41" t="str">
        <x:v>5连RTP</x:v>
      </x:c>
      <x:c r="M19" s="41" t="str">
        <x:v>合计</x:v>
      </x:c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  <x:c r="AA19" s="83"/>
      <x:c r="AB19" s="83"/>
      <x:c r="AC19" s="83"/>
    </x:row>
    <x:row r="20">
      <x:c r="A20" s="13" t="str">
        <x:v>K</x:v>
      </x:c>
      <x:c r="B20" s="42" t="n">
        <x:f>SUMPRODUCT(--('01_ParSheet'!J14:AC14=$A20))/COUNTA('01_ParSheet'!J14:AC14)</x:f>
        <x:v>0.15</x:v>
      </x:c>
      <x:c r="C20" s="42" t="n">
        <x:f>SUMPRODUCT(--('01_ParSheet'!J15:AC15=$A20))/COUNTA('01_ParSheet'!J15:AC15)</x:f>
        <x:v>0.15</x:v>
      </x:c>
      <x:c r="D20" s="42" t="n">
        <x:f>SUMPRODUCT(--('01_ParSheet'!J16:AC16=$A20))/COUNTA('01_ParSheet'!J16:AC16)</x:f>
        <x:v>0.15</x:v>
      </x:c>
      <x:c r="E20" s="42" t="n">
        <x:f>SUMPRODUCT(--('01_ParSheet'!J17:AC17=$A20))/COUNTA('01_ParSheet'!J17:AC17)</x:f>
        <x:v>0.15</x:v>
      </x:c>
      <x:c r="F20" s="42" t="n">
        <x:f>SUMPRODUCT(--('01_ParSheet'!J18:AC18=$A20))/COUNTA('01_ParSheet'!J18:AC18)</x:f>
        <x:v>0.15</x:v>
      </x:c>
      <x:c r="G20" s="43" t="n">
        <x:f>B20*C20*D20*(1-E20)</x:f>
        <x:v>0.0028687499999999998</x:v>
      </x:c>
      <x:c r="H20" s="43" t="n">
        <x:f>B20*C20*D20*E20*(1-F20)</x:f>
        <x:v>0.0004303125</x:v>
      </x:c>
      <x:c r="I20" s="43" t="n">
        <x:f>PRODUCT(B20:F20)</x:f>
        <x:v>0.0000759375</x:v>
      </x:c>
      <x:c r="J20" s="42" t="n">
        <x:f>'01_ParSheet'!E41*G20</x:f>
        <x:v>0.004303125</x:v>
      </x:c>
      <x:c r="K20" s="42" t="n">
        <x:f>'01_ParSheet'!F41*H20</x:f>
        <x:v>0.004303125</x:v>
      </x:c>
      <x:c r="L20" s="42" t="n">
        <x:f>'01_ParSheet'!G41*I20</x:f>
        <x:v>0.006075</x:v>
      </x:c>
      <x:c r="M20" s="42" t="n">
        <x:f>SUM(J20:L20)</x:f>
        <x:v>0.01468125</x:v>
      </x:c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  <x:c r="AA20" s="83"/>
      <x:c r="AB20" s="83"/>
      <x:c r="AC20" s="83"/>
    </x:row>
    <x:row r="21">
      <x:c r="A21" s="13" t="str">
        <x:v>Q</x:v>
      </x:c>
      <x:c r="B21" s="42" t="n">
        <x:f>SUMPRODUCT(--('01_ParSheet'!J14:AC14=$A21))/COUNTA('01_ParSheet'!J14:AC14)</x:f>
        <x:v>0.15</x:v>
      </x:c>
      <x:c r="C21" s="42" t="n">
        <x:f>SUMPRODUCT(--('01_ParSheet'!J15:AC15=$A21))/COUNTA('01_ParSheet'!J15:AC15)</x:f>
        <x:v>0.15</x:v>
      </x:c>
      <x:c r="D21" s="42" t="n">
        <x:f>SUMPRODUCT(--('01_ParSheet'!J16:AC16=$A21))/COUNTA('01_ParSheet'!J16:AC16)</x:f>
        <x:v>0.15</x:v>
      </x:c>
      <x:c r="E21" s="42" t="n">
        <x:f>SUMPRODUCT(--('01_ParSheet'!J17:AC17=$A21))/COUNTA('01_ParSheet'!J17:AC17)</x:f>
        <x:v>0.15</x:v>
      </x:c>
      <x:c r="F21" s="42" t="n">
        <x:f>SUMPRODUCT(--('01_ParSheet'!J18:AC18=$A21))/COUNTA('01_ParSheet'!J18:AC18)</x:f>
        <x:v>0.15</x:v>
      </x:c>
      <x:c r="G21" s="43" t="n">
        <x:f>B21*C21*D21*(1-E21)</x:f>
        <x:v>0.0028687499999999998</x:v>
      </x:c>
      <x:c r="H21" s="43" t="n">
        <x:f>B21*C21*D21*E21*(1-F21)</x:f>
        <x:v>0.0004303125</x:v>
      </x:c>
      <x:c r="I21" s="43" t="n">
        <x:f>PRODUCT(B21:F21)</x:f>
        <x:v>0.0000759375</x:v>
      </x:c>
      <x:c r="J21" s="42" t="n">
        <x:f>'01_ParSheet'!E42*G21</x:f>
        <x:v>0.0028687499999999998</x:v>
      </x:c>
      <x:c r="K21" s="42" t="n">
        <x:f>'01_ParSheet'!F42*H21</x:f>
        <x:v>0.0021515625</x:v>
      </x:c>
      <x:c r="L21" s="42" t="n">
        <x:f>'01_ParSheet'!G42*I21</x:f>
        <x:v>0.0030375</x:v>
      </x:c>
      <x:c r="M21" s="42" t="n">
        <x:f>SUM(J21:L21)</x:f>
        <x:v>0.008057812499999999</x:v>
      </x:c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  <x:c r="AA21" s="83"/>
      <x:c r="AB21" s="83"/>
      <x:c r="AC21" s="83"/>
    </x:row>
    <x:row r="22">
      <x:c r="A22" s="13" t="str">
        <x:v>J</x:v>
      </x:c>
      <x:c r="B22" s="42" t="n">
        <x:f>SUMPRODUCT(--('01_ParSheet'!J14:AC14=$A22))/COUNTA('01_ParSheet'!J14:AC14)</x:f>
        <x:v>0.1</x:v>
      </x:c>
      <x:c r="C22" s="42" t="n">
        <x:f>SUMPRODUCT(--('01_ParSheet'!J15:AC15=$A22))/COUNTA('01_ParSheet'!J15:AC15)</x:f>
        <x:v>0.1</x:v>
      </x:c>
      <x:c r="D22" s="42" t="n">
        <x:f>SUMPRODUCT(--('01_ParSheet'!J16:AC16=$A22))/COUNTA('01_ParSheet'!J16:AC16)</x:f>
        <x:v>0.1</x:v>
      </x:c>
      <x:c r="E22" s="42" t="n">
        <x:f>SUMPRODUCT(--('01_ParSheet'!J17:AC17=$A22))/COUNTA('01_ParSheet'!J17:AC17)</x:f>
        <x:v>0.1</x:v>
      </x:c>
      <x:c r="F22" s="42" t="n">
        <x:f>SUMPRODUCT(--('01_ParSheet'!J18:AC18=$A22))/COUNTA('01_ParSheet'!J18:AC18)</x:f>
        <x:v>0.1</x:v>
      </x:c>
      <x:c r="G22" s="43" t="n">
        <x:f>B22*C22*D22*(1-E22)</x:f>
        <x:v>0.0009000000000000002</x:v>
      </x:c>
      <x:c r="H22" s="43" t="n">
        <x:f>B22*C22*D22*E22*(1-F22)</x:f>
        <x:v>0.00009000000000000003</x:v>
      </x:c>
      <x:c r="I22" s="43" t="n">
        <x:f>PRODUCT(B22:F22)</x:f>
        <x:v>0.000010000000000000004</x:v>
      </x:c>
      <x:c r="J22" s="42" t="n">
        <x:f>'01_ParSheet'!E43*G22</x:f>
        <x:v>0.0009000000000000002</x:v>
      </x:c>
      <x:c r="K22" s="42" t="n">
        <x:f>'01_ParSheet'!F43*H22</x:f>
        <x:v>0.00036000000000000013</x:v>
      </x:c>
      <x:c r="L22" s="42" t="n">
        <x:f>'01_ParSheet'!G43*I22</x:f>
        <x:v>0.0004000000000000002</x:v>
      </x:c>
      <x:c r="M22" s="42" t="n">
        <x:f>SUM(J22:L22)</x:f>
        <x:v>0.0016600000000000005</x:v>
      </x:c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  <x:c r="AA22" s="83"/>
      <x:c r="AB22" s="83"/>
      <x:c r="AC22" s="83"/>
    </x:row>
    <x:row r="23">
      <x:c r="A23" s="13" t="str">
        <x:v>10</x:v>
      </x:c>
      <x:c r="B23" s="42" t="n">
        <x:f>SUMPRODUCT(--('01_ParSheet'!J14:AC14=$A23))/COUNTA('01_ParSheet'!J14:AC14)</x:f>
        <x:v>0.15</x:v>
      </x:c>
      <x:c r="C23" s="42" t="n">
        <x:f>SUMPRODUCT(--('01_ParSheet'!J15:AC15=$A23))/COUNTA('01_ParSheet'!J15:AC15)</x:f>
        <x:v>0.15</x:v>
      </x:c>
      <x:c r="D23" s="42" t="n">
        <x:f>SUMPRODUCT(--('01_ParSheet'!J16:AC16=$A23))/COUNTA('01_ParSheet'!J16:AC16)</x:f>
        <x:v>0.15</x:v>
      </x:c>
      <x:c r="E23" s="42" t="n">
        <x:f>SUMPRODUCT(--('01_ParSheet'!J17:AC17=$A23))/COUNTA('01_ParSheet'!J17:AC17)</x:f>
        <x:v>0.15</x:v>
      </x:c>
      <x:c r="F23" s="42" t="n">
        <x:f>SUMPRODUCT(--('01_ParSheet'!J18:AC18=$A23))/COUNTA('01_ParSheet'!J18:AC18)</x:f>
        <x:v>0.15</x:v>
      </x:c>
      <x:c r="G23" s="43" t="n">
        <x:f>B23*C23*D23*(1-E23)</x:f>
        <x:v>0.0028687499999999998</x:v>
      </x:c>
      <x:c r="H23" s="43" t="n">
        <x:f>B23*C23*D23*E23*(1-F23)</x:f>
        <x:v>0.0004303125</x:v>
      </x:c>
      <x:c r="I23" s="43" t="n">
        <x:f>PRODUCT(B23:F23)</x:f>
        <x:v>0.0000759375</x:v>
      </x:c>
      <x:c r="J23" s="42" t="n">
        <x:f>'01_ParSheet'!E44*G23</x:f>
        <x:v>0.0028687499999999998</x:v>
      </x:c>
      <x:c r="K23" s="42" t="n">
        <x:f>'01_ParSheet'!F44*H23</x:f>
        <x:v>0.00107578125</x:v>
      </x:c>
      <x:c r="L23" s="42" t="n">
        <x:f>'01_ParSheet'!G44*I23</x:f>
        <x:v>0.00151875</x:v>
      </x:c>
      <x:c r="M23" s="42" t="n">
        <x:f>SUM(J23:L23)</x:f>
        <x:v>0.005463281249999999</x:v>
      </x:c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  <x:c r="AA23" s="83"/>
      <x:c r="AB23" s="83"/>
      <x:c r="AC23" s="83"/>
    </x:row>
    <x:row r="24">
      <x:c r="A24" s="13" t="str">
        <x:v>9</x:v>
      </x:c>
      <x:c r="B24" s="42" t="n">
        <x:f>SUMPRODUCT(--('01_ParSheet'!J14:AC14=$A24))/COUNTA('01_ParSheet'!J14:AC14)</x:f>
        <x:v>0.15</x:v>
      </x:c>
      <x:c r="C24" s="42" t="n">
        <x:f>SUMPRODUCT(--('01_ParSheet'!J15:AC15=$A24))/COUNTA('01_ParSheet'!J15:AC15)</x:f>
        <x:v>0.15</x:v>
      </x:c>
      <x:c r="D24" s="42" t="n">
        <x:f>SUMPRODUCT(--('01_ParSheet'!J16:AC16=$A24))/COUNTA('01_ParSheet'!J16:AC16)</x:f>
        <x:v>0.15</x:v>
      </x:c>
      <x:c r="E24" s="42" t="n">
        <x:f>SUMPRODUCT(--('01_ParSheet'!J17:AC17=$A24))/COUNTA('01_ParSheet'!J17:AC17)</x:f>
        <x:v>0.15</x:v>
      </x:c>
      <x:c r="F24" s="42" t="n">
        <x:f>SUMPRODUCT(--('01_ParSheet'!J18:AC18=$A24))/COUNTA('01_ParSheet'!J18:AC18)</x:f>
        <x:v>0.15</x:v>
      </x:c>
      <x:c r="G24" s="43" t="n">
        <x:f>B24*C24*D24*(1-E24)</x:f>
        <x:v>0.0028687499999999998</x:v>
      </x:c>
      <x:c r="H24" s="43" t="n">
        <x:f>B24*C24*D24*E24*(1-F24)</x:f>
        <x:v>0.0004303125</x:v>
      </x:c>
      <x:c r="I24" s="43" t="n">
        <x:f>PRODUCT(B24:F24)</x:f>
        <x:v>0.0000759375</x:v>
      </x:c>
      <x:c r="J24" s="42" t="n">
        <x:f>'01_ParSheet'!E45*G24</x:f>
        <x:v>0.0028687499999999998</x:v>
      </x:c>
      <x:c r="K24" s="42" t="n">
        <x:f>'01_ParSheet'!F45*H24</x:f>
        <x:v>0.00107578125</x:v>
      </x:c>
      <x:c r="L24" s="42" t="n">
        <x:f>'01_ParSheet'!G45*I24</x:f>
        <x:v>0.00151875</x:v>
      </x:c>
      <x:c r="M24" s="42" t="n">
        <x:f>SUM(J24:L24)</x:f>
        <x:v>0.005463281249999999</x:v>
      </x:c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  <x:c r="AA24" s="83"/>
      <x:c r="AB24" s="83"/>
      <x:c r="AC24" s="83"/>
    </x:row>
    <x:row r="25">
      <x:c r="A25" s="13" t="str">
        <x:v>8</x:v>
      </x:c>
      <x:c r="B25" s="42" t="n">
        <x:f>SUMPRODUCT(--('01_ParSheet'!J14:AC14=$A25))/COUNTA('01_ParSheet'!J14:AC14)</x:f>
        <x:v>0.15</x:v>
      </x:c>
      <x:c r="C25" s="42" t="n">
        <x:f>SUMPRODUCT(--('01_ParSheet'!J15:AC15=$A25))/COUNTA('01_ParSheet'!J15:AC15)</x:f>
        <x:v>0.15</x:v>
      </x:c>
      <x:c r="D25" s="42" t="n">
        <x:f>SUMPRODUCT(--('01_ParSheet'!J16:AC16=$A25))/COUNTA('01_ParSheet'!J16:AC16)</x:f>
        <x:v>0.15</x:v>
      </x:c>
      <x:c r="E25" s="42" t="n">
        <x:f>SUMPRODUCT(--('01_ParSheet'!J17:AC17=$A25))/COUNTA('01_ParSheet'!J17:AC17)</x:f>
        <x:v>0.15</x:v>
      </x:c>
      <x:c r="F25" s="42" t="n">
        <x:f>SUMPRODUCT(--('01_ParSheet'!J18:AC18=$A25))/COUNTA('01_ParSheet'!J18:AC18)</x:f>
        <x:v>0.15</x:v>
      </x:c>
      <x:c r="G25" s="43" t="n">
        <x:f>B25*C25*D25*(1-E25)</x:f>
        <x:v>0.0028687499999999998</x:v>
      </x:c>
      <x:c r="H25" s="43" t="n">
        <x:f>B25*C25*D25*E25*(1-F25)</x:f>
        <x:v>0.0004303125</x:v>
      </x:c>
      <x:c r="I25" s="43" t="n">
        <x:f>PRODUCT(B25:F25)</x:f>
        <x:v>0.0000759375</x:v>
      </x:c>
      <x:c r="J25" s="42" t="n">
        <x:f>'01_ParSheet'!E46*G25</x:f>
        <x:v>0.0028687499999999998</x:v>
      </x:c>
      <x:c r="K25" s="42" t="n">
        <x:f>'01_ParSheet'!F46*H25</x:f>
        <x:v>0.000860625</x:v>
      </x:c>
      <x:c r="L25" s="42" t="n">
        <x:f>'01_ParSheet'!G46*I25</x:f>
        <x:v>0.00151875</x:v>
      </x:c>
      <x:c r="M25" s="42" t="n">
        <x:f>SUM(J25:L25)</x:f>
        <x:v>0.005248124999999999</x:v>
      </x:c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  <x:c r="AA25" s="83"/>
      <x:c r="AB25" s="83"/>
      <x:c r="AC25" s="83"/>
    </x:row>
    <x:row r="26">
      <x:c r="A26" s="13" t="str">
        <x:v>7</x:v>
      </x:c>
      <x:c r="B26" s="42" t="n">
        <x:f>SUMPRODUCT(--('01_ParSheet'!J14:AC14=$A26))/COUNTA('01_ParSheet'!J14:AC14)</x:f>
        <x:v>0.15</x:v>
      </x:c>
      <x:c r="C26" s="42" t="n">
        <x:f>SUMPRODUCT(--('01_ParSheet'!J15:AC15=$A26))/COUNTA('01_ParSheet'!J15:AC15)</x:f>
        <x:v>0.15</x:v>
      </x:c>
      <x:c r="D26" s="42" t="n">
        <x:f>SUMPRODUCT(--('01_ParSheet'!J16:AC16=$A26))/COUNTA('01_ParSheet'!J16:AC16)</x:f>
        <x:v>0.15</x:v>
      </x:c>
      <x:c r="E26" s="42" t="n">
        <x:f>SUMPRODUCT(--('01_ParSheet'!J17:AC17=$A26))/COUNTA('01_ParSheet'!J17:AC17)</x:f>
        <x:v>0.15</x:v>
      </x:c>
      <x:c r="F26" s="42" t="n">
        <x:f>SUMPRODUCT(--('01_ParSheet'!J18:AC18=$A26))/COUNTA('01_ParSheet'!J18:AC18)</x:f>
        <x:v>0.15</x:v>
      </x:c>
      <x:c r="G26" s="43" t="n">
        <x:f>B26*C26*D26*(1-E26)</x:f>
        <x:v>0.0028687499999999998</x:v>
      </x:c>
      <x:c r="H26" s="43" t="n">
        <x:f>B26*C26*D26*E26*(1-F26)</x:f>
        <x:v>0.0004303125</x:v>
      </x:c>
      <x:c r="I26" s="43" t="n">
        <x:f>PRODUCT(B26:F26)</x:f>
        <x:v>0.0000759375</x:v>
      </x:c>
      <x:c r="J26" s="42" t="n">
        <x:f>'01_ParSheet'!E47*G26</x:f>
        <x:v>0.0028687499999999998</x:v>
      </x:c>
      <x:c r="K26" s="42" t="n">
        <x:f>'01_ParSheet'!F47*H26</x:f>
        <x:v>0.000860625</x:v>
      </x:c>
      <x:c r="L26" s="42" t="n">
        <x:f>'01_ParSheet'!G47*I26</x:f>
        <x:v>0.00151875</x:v>
      </x:c>
      <x:c r="M26" s="42" t="n">
        <x:f>SUM(J26:L26)</x:f>
        <x:v>0.005248124999999999</x:v>
      </x:c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  <x:c r="AA26" s="83"/>
      <x:c r="AB26" s="83"/>
      <x:c r="AC26" s="83"/>
    </x:row>
    <x:row r="27">
      <x:c r="A27" s="44" t="str">
        <x:v>单线 RTP</x:v>
      </x:c>
      <x:c r="B27" s="44"/>
      <x:c r="C27" s="44"/>
      <x:c r="D27" s="44"/>
      <x:c r="E27" s="44"/>
      <x:c r="F27" s="44"/>
      <x:c r="G27" s="44"/>
      <x:c r="H27" s="44"/>
      <x:c r="I27" s="44"/>
      <x:c r="J27" s="45"/>
      <x:c r="K27" s="45"/>
      <x:c r="L27" s="45"/>
      <x:c r="M27" s="45" t="n">
        <x:f>SUM(M20:M26)</x:f>
        <x:v>0.045821875</x:v>
      </x:c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  <x:c r="AA27" s="83"/>
      <x:c r="AB27" s="83"/>
      <x:c r="AC27" s="83"/>
    </x:row>
    <x:row r="28">
      <x:c r="A28" s="44" t="str">
        <x:v>Base RTP ×20 线</x:v>
      </x:c>
      <x:c r="B28" s="44"/>
      <x:c r="C28" s="44"/>
      <x:c r="D28" s="44"/>
      <x:c r="E28" s="44"/>
      <x:c r="F28" s="44"/>
      <x:c r="G28" s="44"/>
      <x:c r="H28" s="44"/>
      <x:c r="I28" s="44"/>
      <x:c r="J28" s="45"/>
      <x:c r="K28" s="45"/>
      <x:c r="L28" s="45"/>
      <x:c r="M28" s="45" t="n">
        <x:f>M27*20</x:f>
        <x:v>0.9164375</x:v>
      </x:c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  <x:c r="AA28" s="83"/>
      <x:c r="AB28" s="83"/>
      <x:c r="AC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  <x:c r="AA29" s="83"/>
      <x:c r="AB29" s="83"/>
      <x:c r="AC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  <x:c r="AA30" s="83"/>
      <x:c r="AB30" s="83"/>
      <x:c r="AC30" s="83"/>
    </x:row>
    <x:row r="31">
      <x:c r="A31" s="86" t="str">
        <x:v>RTP 与 1M 交接结果</x:v>
      </x:c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  <x:c r="AA31" s="83"/>
      <x:c r="AB31" s="83"/>
      <x:c r="AC31" s="83"/>
    </x:row>
    <x:row r="32" ht="28" customHeight="1">
      <x:c r="A32" s="49" t="str">
        <x:v>指标</x:v>
      </x:c>
      <x:c r="B32" s="49" t="str">
        <x:v>Beginner</x:v>
      </x:c>
      <x:c r="C32" s="49" t="str">
        <x:v>Advanced</x:v>
      </x:c>
      <x:c r="D32" s="49" t="str">
        <x:v>说明</x:v>
      </x:c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  <x:c r="AA32" s="83"/>
      <x:c r="AB32" s="83"/>
      <x:c r="AC32" s="83"/>
    </x:row>
    <x:row r="33">
      <x:c r="A33" s="50" t="str">
        <x:v>精确 Base RTP</x:v>
      </x:c>
      <x:c r="B33" s="51" t="n">
        <x:f>M15</x:f>
        <x:v>0.9153968750000002</x:v>
      </x:c>
      <x:c r="C33" s="51" t="n">
        <x:f>M28</x:f>
        <x:v>0.9164375</x:v>
      </x:c>
      <x:c r="D33" s="50" t="str">
        <x:v>由 strips + paytable 公式计算</x:v>
      </x:c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  <x:c r="AA33" s="83"/>
      <x:c r="AB33" s="83"/>
      <x:c r="AC33" s="83"/>
    </x:row>
    <x:row r="34">
      <x:c r="A34" s="50" t="str">
        <x:v>蓄水池贡献</x:v>
      </x:c>
      <x:c r="B34" s="56" t="n">
        <x:v>0.033061</x:v>
      </x:c>
      <x:c r="C34" s="56" t="n">
        <x:v>0.027987</x:v>
      </x:c>
      <x:c r="D34" s="50" t="str">
        <x:v>1M 交接结果</x:v>
      </x:c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  <x:c r="AA34" s="83"/>
      <x:c r="AB34" s="83"/>
      <x:c r="AC34" s="83"/>
    </x:row>
    <x:row r="35">
      <x:c r="A35" s="60" t="str">
        <x:v>设计总 RTP</x:v>
      </x:c>
      <x:c r="B35" s="61" t="n">
        <x:f>B33+B34</x:f>
        <x:v>0.9484578750000002</x:v>
      </x:c>
      <x:c r="C35" s="61" t="n">
        <x:f>C33+C34</x:f>
        <x:v>0.9444245</x:v>
      </x:c>
      <x:c r="D35" s="60" t="str">
        <x:v>Base + 蓄水池</x:v>
      </x:c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  <x:c r="AA35" s="83"/>
      <x:c r="AB35" s="83"/>
      <x:c r="AC35" s="83"/>
    </x:row>
    <x:row r="36">
      <x:c r="A36" s="50" t="str">
        <x:v>蓄水池触发率</x:v>
      </x:c>
      <x:c r="B36" s="56" t="n">
        <x:v>0.018591</x:v>
      </x:c>
      <x:c r="C36" s="56" t="n">
        <x:v>0.014824</x:v>
      </x:c>
      <x:c r="D36" s="50" t="str">
        <x:v>1M 交接结果</x:v>
      </x:c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  <x:c r="AA36" s="83"/>
      <x:c r="AB36" s="83"/>
      <x:c r="AC36" s="83"/>
    </x:row>
    <x:row r="37">
      <x:c r="A37" s="50" t="str">
        <x:v>1M 模拟总 RTP</x:v>
      </x:c>
      <x:c r="B37" s="56" t="n">
        <x:v>0.943894</x:v>
      </x:c>
      <x:c r="C37" s="56" t="n">
        <x:v>0.933683</x:v>
      </x:c>
      <x:c r="D37" s="50" t="str">
        <x:v>不重跑</x:v>
      </x:c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  <x:c r="AA37" s="83"/>
      <x:c r="AB37" s="83"/>
      <x:c r="AC37" s="83"/>
    </x:row>
    <x:row r="38">
      <x:c r="A38" s="50" t="str">
        <x:v>Hit rate</x:v>
      </x:c>
      <x:c r="B38" s="57" t="n">
        <x:v>0.317843</x:v>
      </x:c>
      <x:c r="C38" s="57" t="n">
        <x:v>0.251184</x:v>
      </x:c>
      <x:c r="D38" s="50" t="str">
        <x:v>1M 交接结果</x:v>
      </x:c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  <x:c r="AA38" s="83"/>
      <x:c r="AB38" s="83"/>
      <x:c r="AC38" s="83"/>
    </x:row>
    <x:row r="39">
      <x:c r="A39" s="50" t="str">
        <x:v>单转 SD</x:v>
      </x:c>
      <x:c r="B39" s="58" t="n">
        <x:v>2.7947</x:v>
      </x:c>
      <x:c r="C39" s="58" t="n">
        <x:v>4.9126</x:v>
      </x:c>
      <x:c r="D39" s="50" t="str">
        <x:v>1M 交接结果</x:v>
      </x:c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  <x:c r="AA39" s="83"/>
      <x:c r="AB39" s="83"/>
      <x:c r="AC39" s="83"/>
    </x:row>
    <x:row r="40">
      <x:c r="A40" s="50" t="str">
        <x:v>1M 最大观察</x:v>
      </x:c>
      <x:c r="B40" s="59" t="n">
        <x:v>122</x:v>
      </x:c>
      <x:c r="C40" s="59" t="n">
        <x:v>410</x:v>
      </x:c>
      <x:c r="D40" s="50" t="str">
        <x:v>× bet</x:v>
      </x:c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  <x:c r="AA40" s="83"/>
      <x:c r="AB40" s="83"/>
      <x:c r="AC40" s="83"/>
    </x:row>
    <x:row r="41">
      <x:c r="A41" s="50" t="str">
        <x:v>Max Win 封顶</x:v>
      </x:c>
      <x:c r="B41" s="59" t="n">
        <x:v>500</x:v>
      </x:c>
      <x:c r="C41" s="59" t="n">
        <x:v>2000</x:v>
      </x:c>
      <x:c r="D41" s="50" t="str">
        <x:v>× bet</x:v>
      </x:c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  <x:c r="AA41" s="83"/>
      <x:c r="AB41" s="83"/>
      <x:c r="AC41" s="83"/>
    </x:row>
    <x:row r="42">
      <x:c r="A42" s="50" t="str">
        <x:v>设计 - 1M</x:v>
      </x:c>
      <x:c r="B42" s="55" t="n">
        <x:f>(B35-B37)*100</x:f>
        <x:v>0.4563875000000217</x:v>
      </x:c>
      <x:c r="C42" s="55" t="n">
        <x:f>(C35-C37)*100</x:f>
        <x:v>1.074149999999996</x:v>
      </x:c>
      <x:c r="D42" s="50" t="str">
        <x:v>百分点差</x:v>
      </x:c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  <x:c r="AA42" s="83"/>
      <x:c r="AB42" s="83"/>
      <x:c r="AC42" s="83"/>
    </x:row>
    <x:row r="43">
      <x:c r="A43" s="50" t="str">
        <x:v>单转 SE</x:v>
      </x:c>
      <x:c r="B43" s="51" t="n">
        <x:f>B39/SQRT(1000000)</x:f>
        <x:v>0.0027947000000000002</x:v>
      </x:c>
      <x:c r="C43" s="51" t="n">
        <x:f>C39/SQRT(1000000)</x:f>
        <x:v>0.0049126000000000005</x:v>
      </x:c>
      <x:c r="D43" s="50" t="str">
        <x:v>SD ÷ √1,000,000</x:v>
      </x:c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  <x:c r="AA43" s="83"/>
      <x:c r="AB43" s="83"/>
      <x:c r="AC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  <x:c r="AA44" s="83"/>
      <x:c r="AB44" s="83"/>
      <x:c r="AC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  <x:c r="AA45" s="83"/>
      <x:c r="AB45" s="83"/>
      <x:c r="AC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  <x:c r="AA46" s="83"/>
      <x:c r="AB46" s="83"/>
      <x:c r="AC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  <x:c r="AA47" s="83"/>
      <x:c r="AB47" s="83"/>
      <x:c r="AC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  <x:c r="AA48" s="83"/>
      <x:c r="AB48" s="83"/>
      <x:c r="AC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  <x:c r="AA49" s="83"/>
      <x:c r="AB49" s="83"/>
      <x:c r="AC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  <x:c r="AA50" s="83"/>
      <x:c r="AB50" s="83"/>
      <x:c r="AC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  <x:c r="AA51" s="83"/>
      <x:c r="AB51" s="83"/>
      <x:c r="AC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  <x:c r="AA52" s="83"/>
      <x:c r="AB52" s="83"/>
      <x:c r="AC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  <x:c r="AA53" s="83"/>
      <x:c r="AB53" s="83"/>
      <x:c r="AC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  <x:c r="AA54" s="83"/>
      <x:c r="AB54" s="83"/>
      <x:c r="AC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  <x:c r="AA55" s="83"/>
      <x:c r="AB55" s="83"/>
      <x:c r="AC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  <x:c r="AA56" s="83"/>
      <x:c r="AB56" s="83"/>
      <x:c r="AC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  <x:c r="AA57" s="83"/>
      <x:c r="AB57" s="83"/>
      <x:c r="AC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  <x:c r="AA58" s="83"/>
      <x:c r="AB58" s="83"/>
      <x:c r="AC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  <x:c r="AA59" s="83"/>
      <x:c r="AB59" s="83"/>
      <x:c r="AC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  <x:c r="AA60" s="83"/>
      <x:c r="AB60" s="83"/>
      <x:c r="AC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  <x:c r="AA61" s="83"/>
      <x:c r="AB61" s="83"/>
      <x:c r="AC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  <x:c r="AA62" s="83"/>
      <x:c r="AB62" s="83"/>
      <x:c r="AC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  <x:c r="AA63" s="83"/>
      <x:c r="AB63" s="83"/>
      <x:c r="AC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  <x:c r="AA64" s="83"/>
      <x:c r="AB64" s="83"/>
      <x:c r="AC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  <x:c r="AA65" s="83"/>
      <x:c r="AB65" s="83"/>
      <x:c r="AC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  <x:c r="AA66" s="83"/>
      <x:c r="AB66" s="83"/>
      <x:c r="AC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  <x:c r="AA67" s="83"/>
      <x:c r="AB67" s="83"/>
      <x:c r="AC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  <x:c r="AA68" s="83"/>
      <x:c r="AB68" s="83"/>
      <x:c r="AC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  <x:c r="AA69" s="83"/>
      <x:c r="AB69" s="83"/>
      <x:c r="AC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  <x:c r="AA70" s="83"/>
      <x:c r="AB70" s="83"/>
      <x:c r="AC70" s="8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3E46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0" hidden="0" customWidth="1"/>
    <x:col min="5" max="5" width="58" hidden="0" customWidth="1"/>
  </x:cols>
  <x:sheetData>
    <x:row r="1">
      <x:c r="A1" s="82" t="str">
        <x:v>Beginner 与 Advanced 结果对比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  <x:c r="AA1" s="83"/>
      <x:c r="AB1" s="83"/>
      <x:c r="AC1" s="83"/>
    </x:row>
    <x:row r="2">
      <x:c r="A2" s="84" t="str">
        <x:v>优先级：U1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  <x:c r="AA2" s="83"/>
      <x:c r="AB2" s="83"/>
      <x:c r="AC2" s="83"/>
    </x:row>
    <x:row r="3">
      <x:c r="A3" s="90" t="str">
        <x:v>两档 RTP 接近；体验差异来自轴权重与顶部赔率。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  <x:c r="AA3" s="83"/>
      <x:c r="AB3" s="83"/>
      <x:c r="AC3" s="83"/>
    </x:row>
    <x:row r="4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  <x:c r="AA4" s="83"/>
      <x:c r="AB4" s="83"/>
      <x:c r="AC4" s="83"/>
    </x:row>
    <x:row r="5">
      <x:c r="A5" s="86" t="str">
        <x:v>核心指标</x:v>
      </x:c>
      <x:c r="B5" s="83"/>
      <x:c r="C5" s="83"/>
      <x:c r="D5" s="83"/>
      <x:c r="E5" s="83"/>
      <x:c r="F5" s="83"/>
      <x:c r="G5" s="83"/>
      <x:c r="H5" s="83"/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  <x:c r="AA5" s="83"/>
      <x:c r="AB5" s="83"/>
      <x:c r="AC5" s="83"/>
    </x:row>
    <x:row r="6" ht="32" customHeight="1">
      <x:c r="A6" s="66" t="str">
        <x:v>指标</x:v>
      </x:c>
      <x:c r="B6" s="66" t="str">
        <x:v>Beginner</x:v>
      </x:c>
      <x:c r="C6" s="66" t="str">
        <x:v>Advanced</x:v>
      </x:c>
      <x:c r="D6" s="66" t="str">
        <x:v>变化</x:v>
      </x:c>
      <x:c r="E6" s="66" t="str">
        <x:v>解读</x:v>
      </x:c>
      <x:c r="F6" s="83"/>
      <x:c r="G6" s="83"/>
      <x:c r="H6" s="83"/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  <x:c r="AA6" s="83"/>
      <x:c r="AB6" s="83"/>
      <x:c r="AC6" s="83"/>
    </x:row>
    <x:row r="7">
      <x:c r="A7" s="67" t="str">
        <x:v>精确 Base RTP</x:v>
      </x:c>
      <x:c r="B7" s="68" t="n">
        <x:f>'02_RTP计算'!B33</x:f>
        <x:v>0.9153968750000002</x:v>
      </x:c>
      <x:c r="C7" s="68" t="n">
        <x:f>'02_RTP计算'!C33</x:f>
        <x:v>0.9164375</x:v>
      </x:c>
      <x:c r="D7" s="69" t="n">
        <x:f>C7-B7</x:f>
        <x:v>0.0010406249999997952</x:v>
      </x:c>
      <x:c r="E7" s="67" t="str">
        <x:v>公式由 strips + paytable 生成</x:v>
      </x:c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  <x:c r="AA7" s="83"/>
      <x:c r="AB7" s="83"/>
      <x:c r="AC7" s="83"/>
    </x:row>
    <x:row r="8">
      <x:c r="A8" s="67" t="str">
        <x:v>蓄水池贡献</x:v>
      </x:c>
      <x:c r="B8" s="68" t="n">
        <x:f>'02_RTP计算'!B34</x:f>
        <x:v>0.033061</x:v>
      </x:c>
      <x:c r="C8" s="68" t="n">
        <x:f>'02_RTP计算'!C34</x:f>
        <x:v>0.027987</x:v>
      </x:c>
      <x:c r="D8" s="69" t="n">
        <x:f>C8-B8</x:f>
        <x:v>-0.005073999999999999</x:v>
      </x:c>
      <x:c r="E8" s="67" t="str">
        <x:v>Beginner 更容易续蓄水池</x:v>
      </x:c>
      <x:c r="F8" s="83"/>
      <x:c r="G8" s="83"/>
      <x:c r="H8" s="83"/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  <x:c r="AA8" s="83"/>
      <x:c r="AB8" s="83"/>
      <x:c r="AC8" s="83"/>
    </x:row>
    <x:row r="9">
      <x:c r="A9" s="67" t="str">
        <x:v>设计总 RTP</x:v>
      </x:c>
      <x:c r="B9" s="68" t="n">
        <x:f>'02_RTP计算'!B35</x:f>
        <x:v>0.9484578750000002</x:v>
      </x:c>
      <x:c r="C9" s="68" t="n">
        <x:f>'02_RTP计算'!C35</x:f>
        <x:v>0.9444245</x:v>
      </x:c>
      <x:c r="D9" s="69" t="n">
        <x:f>C9-B9</x:f>
        <x:v>-0.004033375000000228</x:v>
      </x:c>
      <x:c r="E9" s="67" t="str">
        <x:v>两档接近</x:v>
      </x:c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</x:row>
    <x:row r="10">
      <x:c r="A10" s="67" t="str">
        <x:v>1M 模拟 RTP</x:v>
      </x:c>
      <x:c r="B10" s="68" t="n">
        <x:f>'02_RTP计算'!B37</x:f>
        <x:v>0.943894</x:v>
      </x:c>
      <x:c r="C10" s="68" t="n">
        <x:f>'02_RTP计算'!C37</x:f>
        <x:v>0.933683</x:v>
      </x:c>
      <x:c r="D10" s="69" t="n">
        <x:f>C10-B10</x:f>
        <x:v>-0.01021099999999997</x:v>
      </x:c>
      <x:c r="E10" s="67" t="str">
        <x:v>引用交接结果</x:v>
      </x:c>
      <x:c r="F10" s="83"/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  <x:c r="AA10" s="83"/>
      <x:c r="AB10" s="83"/>
      <x:c r="AC10" s="83"/>
    </x:row>
    <x:row r="11">
      <x:c r="A11" s="67" t="str">
        <x:v>Hit rate</x:v>
      </x:c>
      <x:c r="B11" s="70" t="n">
        <x:f>'02_RTP计算'!B38</x:f>
        <x:v>0.317843</x:v>
      </x:c>
      <x:c r="C11" s="70" t="n">
        <x:f>'02_RTP计算'!C38</x:f>
        <x:v>0.251184</x:v>
      </x:c>
      <x:c r="D11" s="71" t="n">
        <x:f>C11-B11</x:f>
        <x:v>-0.06665899999999997</x:v>
      </x:c>
      <x:c r="E11" s="67" t="str">
        <x:v>Beginner 更高</x:v>
      </x:c>
      <x:c r="F11" s="83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  <x:c r="AA11" s="83"/>
      <x:c r="AB11" s="83"/>
      <x:c r="AC11" s="83"/>
    </x:row>
    <x:row r="12">
      <x:c r="A12" s="67" t="str">
        <x:v>单转 SD</x:v>
      </x:c>
      <x:c r="B12" s="72" t="n">
        <x:f>'02_RTP计算'!B39</x:f>
        <x:v>2.7947</x:v>
      </x:c>
      <x:c r="C12" s="72" t="n">
        <x:f>'02_RTP计算'!C39</x:f>
        <x:v>4.9126</x:v>
      </x:c>
      <x:c r="D12" s="73" t="n">
        <x:f>C12-B12</x:f>
        <x:v>2.1179</x:v>
      </x:c>
      <x:c r="E12" s="67" t="str">
        <x:v>Advanced 明显更高</x:v>
      </x:c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  <x:c r="AA12" s="83"/>
      <x:c r="AB12" s="83"/>
      <x:c r="AC12" s="83"/>
    </x:row>
    <x:row r="13">
      <x:c r="A13" s="67" t="str">
        <x:v>Max Win 封顶</x:v>
      </x:c>
      <x:c r="B13" s="74" t="n">
        <x:f>'02_RTP计算'!B41</x:f>
        <x:v>500</x:v>
      </x:c>
      <x:c r="C13" s="74" t="n">
        <x:f>'02_RTP计算'!C41</x:f>
        <x:v>2000</x:v>
      </x:c>
      <x:c r="D13" s="75" t="n">
        <x:f>C13-B13</x:f>
        <x:v>1500</x:v>
      </x:c>
      <x:c r="E13" s="67" t="str">
        <x:v>Advanced 上限更高</x:v>
      </x:c>
      <x:c r="F13" s="83"/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  <x:c r="AA13" s="83"/>
      <x:c r="AB13" s="83"/>
      <x:c r="AC13" s="83"/>
    </x:row>
    <x:row r="14">
      <x:c r="A14" s="67" t="str">
        <x:v>1M 最大观察</x:v>
      </x:c>
      <x:c r="B14" s="74" t="n">
        <x:f>'02_RTP计算'!B40</x:f>
        <x:v>122</x:v>
      </x:c>
      <x:c r="C14" s="74" t="n">
        <x:f>'02_RTP计算'!C40</x:f>
        <x:v>410</x:v>
      </x:c>
      <x:c r="D14" s="75" t="n">
        <x:f>C14-B14</x:f>
        <x:v>288</x:v>
      </x:c>
      <x:c r="E14" s="67" t="str">
        <x:v>Advanced 依赖尾部大赢</x:v>
      </x:c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  <x:c r="AA14" s="83"/>
      <x:c r="AB14" s="83"/>
      <x:c r="AC14" s="83"/>
    </x:row>
    <x:row r="15">
      <x:c r="A15" s="67" t="str">
        <x:v>蓄水池触发率</x:v>
      </x:c>
      <x:c r="B15" s="68" t="n">
        <x:f>'02_RTP计算'!B36</x:f>
        <x:v>0.018591</x:v>
      </x:c>
      <x:c r="C15" s="68" t="n">
        <x:f>'02_RTP计算'!C36</x:f>
        <x:v>0.014824</x:v>
      </x:c>
      <x:c r="D15" s="69" t="n">
        <x:f>C15-B15</x:f>
        <x:v>-0.0037669999999999995</x:v>
      </x:c>
      <x:c r="E15" s="67" t="str">
        <x:v>Beginner 更高</x:v>
      </x:c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  <x:c r="AA15" s="83"/>
      <x:c r="AB15" s="83"/>
      <x:c r="AC15" s="83"/>
    </x:row>
    <x:row r="16">
      <x:c r="A16" s="67" t="str">
        <x:v>设计 - 1M</x:v>
      </x:c>
      <x:c r="B16" s="76" t="n">
        <x:f>'02_RTP计算'!B42</x:f>
        <x:v>0.4563875000000217</x:v>
      </x:c>
      <x:c r="C16" s="76" t="n">
        <x:f>'02_RTP计算'!C42</x:f>
        <x:v>1.074149999999996</x:v>
      </x:c>
      <x:c r="D16" s="76" t="n">
        <x:f>C16-B16</x:f>
        <x:v>0.6177624999999742</x:v>
      </x:c>
      <x:c r="E16" s="67" t="str">
        <x:v>抽样偏差</x:v>
      </x:c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  <x:c r="AA16" s="83"/>
      <x:c r="AB16" s="83"/>
      <x:c r="AC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  <x:c r="AA17" s="83"/>
      <x:c r="AB17" s="83"/>
      <x:c r="AC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  <x:c r="AA18" s="83"/>
      <x:c r="AB18" s="83"/>
      <x:c r="AC18" s="83"/>
    </x:row>
    <x:row r="19">
      <x:c r="A19" s="86" t="str">
        <x:v>Patch Notes</x:v>
      </x:c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  <x:c r="AA19" s="83"/>
      <x:c r="AB19" s="83"/>
      <x:c r="AC19" s="83"/>
    </x:row>
    <x:row r="20" ht="28" customHeight="1">
      <x:c r="A20" s="10" t="str">
        <x:v>改动</x:v>
      </x:c>
      <x:c r="B20" s="10" t="str">
        <x:v>Beginner</x:v>
      </x:c>
      <x:c r="C20" s="10" t="str">
        <x:v>Advanced</x:v>
      </x:c>
      <x:c r="D20" s="10" t="str">
        <x:v>设计意图</x:v>
      </x:c>
      <x:c r="E20" s="10" t="str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  <x:c r="AA20" s="83"/>
      <x:c r="AB20" s="83"/>
      <x:c r="AC20" s="83"/>
    </x:row>
    <x:row r="21">
      <x:c r="A21" s="79" t="str">
        <x:v>轴权重</x:v>
      </x:c>
      <x:c r="B21" s="79" t="str">
        <x:v>更多 9/8 权重</x:v>
      </x:c>
      <x:c r="C21" s="79" t="str">
        <x:v>更均匀的高符号权重</x:v>
      </x:c>
      <x:c r="D21" s="79" t="str">
        <x:v>Beginner 提高中低符号成线频率</x:v>
      </x:c>
      <x:c r="E21" s="79" t="str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  <x:c r="AA21" s="83"/>
      <x:c r="AB21" s="83"/>
      <x:c r="AC21" s="83"/>
    </x:row>
    <x:row r="22">
      <x:c r="A22" s="79" t="str">
        <x:v>赔率</x:v>
      </x:c>
      <x:c r="B22" s="79" t="str">
        <x:v>中低赔率更密</x:v>
      </x:c>
      <x:c r="C22" s="79" t="str">
        <x:v>K/Q/J 顶部赔率更高</x:v>
      </x:c>
      <x:c r="D22" s="79" t="str">
        <x:v>Advanced 把价值移到 4/5 连</x:v>
      </x:c>
      <x:c r="E22" s="79" t="str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  <x:c r="AA22" s="83"/>
      <x:c r="AB22" s="83"/>
      <x:c r="AC22" s="83"/>
    </x:row>
    <x:row r="23">
      <x:c r="A23" s="79" t="str">
        <x:v>RTP</x:v>
      </x:c>
      <x:c r="B23" s="79" t="str">
        <x:v>94.8458%</x:v>
      </x:c>
      <x:c r="C23" s="79" t="str">
        <x:v>94.4424%</x:v>
      </x:c>
      <x:c r="D23" s="79" t="str">
        <x:v>两档保持接近</x:v>
      </x:c>
      <x:c r="E23" s="79" t="str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  <x:c r="AA23" s="83"/>
      <x:c r="AB23" s="83"/>
      <x:c r="AC23" s="83"/>
    </x:row>
    <x:row r="24">
      <x:c r="A24" s="79" t="str">
        <x:v>体验</x:v>
      </x:c>
      <x:c r="B24" s="79" t="str">
        <x:v>hit 31.78%，SD 2.79</x:v>
      </x:c>
      <x:c r="C24" s="79" t="str">
        <x:v>hit 25.12%，SD 4.91</x:v>
      </x:c>
      <x:c r="D24" s="79" t="str">
        <x:v>从平滑反馈切到高波动</x:v>
      </x:c>
      <x:c r="E24" s="79" t="str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  <x:c r="AA24" s="83"/>
      <x:c r="AB24" s="83"/>
      <x:c r="AC24" s="83"/>
    </x:row>
    <x:row r="25">
      <x:c r="A25" s="79" t="str">
        <x:v>蓄水池</x:v>
      </x:c>
      <x:c r="B25" s="79" t="str">
        <x:v>触发率 1.8591%</x:v>
      </x:c>
      <x:c r="C25" s="79" t="str">
        <x:v>触发率 1.4824%</x:v>
      </x:c>
      <x:c r="D25" s="79" t="str">
        <x:v>Beginner 更快看到 FS 进度奖励</x:v>
      </x:c>
      <x:c r="E25" s="79" t="str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  <x:c r="AA25" s="83"/>
      <x:c r="AB25" s="83"/>
      <x:c r="AC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  <x:c r="AA26" s="83"/>
      <x:c r="AB26" s="83"/>
      <x:c r="AC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  <x:c r="AA27" s="83"/>
      <x:c r="AB27" s="83"/>
      <x:c r="AC27" s="83"/>
    </x:row>
    <x:row r="28">
      <x:c r="A28" s="86" t="str">
        <x:v>面试结论</x:v>
      </x:c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  <x:c r="AA28" s="83"/>
      <x:c r="AB28" s="83"/>
      <x:c r="AC28" s="83"/>
    </x:row>
    <x:row r="29" ht="34" customHeight="1">
      <x:c r="A29" s="91" t="str">
        <x:v>结论</x:v>
      </x:c>
      <x:c r="B29" s="91" t="str">
        <x:v>Beginner 与 Advanced 的设计 RTP 接近，但 Beginner 更高 hit、更低 SD；Advanced 用更高顶部赔率和更干 Base 提高波动。</x:v>
      </x:c>
      <x:c r="C29" s="91"/>
      <x:c r="D29" s="91"/>
      <x:c r="E29" s="91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  <x:c r="AA29" s="83"/>
      <x:c r="AB29" s="83"/>
      <x:c r="AC29" s="83"/>
    </x:row>
    <x:row r="30" ht="34" customHeight="1">
      <x:c r="A30" s="91" t="str">
        <x:v>机制</x:v>
      </x:c>
      <x:c r="B30" s="91" t="str">
        <x:v>两档共用 20 条线图和蓄水池。中奖线按 max(1, round(赔率×2)) 加分，100 分触发 1 次 x2 FS，触发清零且只 Base 加分。</x:v>
      </x:c>
      <x:c r="C30" s="91"/>
      <x:c r="D30" s="91"/>
      <x:c r="E30" s="91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  <x:c r="AA30" s="83"/>
      <x:c r="AB30" s="83"/>
      <x:c r="AC30" s="83"/>
    </x:row>
    <x:row r="31" ht="34" customHeight="1">
      <x:c r="A31" s="91" t="str">
        <x:v>误差</x:v>
      </x:c>
      <x:c r="B31" s="91" t="str">
        <x:v>Beginner 设计-1M 差 0.4564pp；Advanced 差 1.0741pp。Advanced 高波动档的尾部事件更稀疏，1M 估算不确定性更大。</x:v>
      </x:c>
      <x:c r="C31" s="91"/>
      <x:c r="D31" s="91"/>
      <x:c r="E31" s="91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  <x:c r="AA31" s="83"/>
      <x:c r="AB31" s="83"/>
      <x:c r="AC31" s="83"/>
    </x:row>
    <x:row r="32" ht="34" customHeight="1">
      <x:c r="A32" s="91" t="str">
        <x:v>商业层</x:v>
      </x:c>
      <x:c r="B32" s="91" t="str">
        <x:v>蓄水池提供短期进度感；Advanced 更依赖稀有高赔率事件。作品不包含 Feature Buy。</x:v>
      </x:c>
      <x:c r="C32" s="91"/>
      <x:c r="D32" s="91"/>
      <x:c r="E32" s="91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  <x:c r="AA32" s="83"/>
      <x:c r="AB32" s="83"/>
      <x:c r="AC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  <x:c r="AA33" s="83"/>
      <x:c r="AB33" s="83"/>
      <x:c r="AC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  <x:c r="AA34" s="83"/>
      <x:c r="AB34" s="83"/>
      <x:c r="AC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  <x:c r="AA35" s="83"/>
      <x:c r="AB35" s="83"/>
      <x:c r="AC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  <x:c r="AA36" s="83"/>
      <x:c r="AB36" s="83"/>
      <x:c r="AC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  <x:c r="AA37" s="83"/>
      <x:c r="AB37" s="83"/>
      <x:c r="AC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  <x:c r="AA38" s="83"/>
      <x:c r="AB38" s="83"/>
      <x:c r="AC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  <x:c r="AA39" s="83"/>
      <x:c r="AB39" s="83"/>
      <x:c r="AC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  <x:c r="AA40" s="83"/>
      <x:c r="AB40" s="83"/>
      <x:c r="AC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  <x:c r="AA41" s="83"/>
      <x:c r="AB41" s="83"/>
      <x:c r="AC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  <x:c r="AA42" s="83"/>
      <x:c r="AB42" s="83"/>
      <x:c r="AC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  <x:c r="AA43" s="83"/>
      <x:c r="AB43" s="83"/>
      <x:c r="AC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  <x:c r="AA44" s="83"/>
      <x:c r="AB44" s="83"/>
      <x:c r="AC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  <x:c r="AA45" s="83"/>
      <x:c r="AB45" s="83"/>
      <x:c r="AC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  <x:c r="AA46" s="83"/>
      <x:c r="AB46" s="83"/>
      <x:c r="AC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  <x:c r="AA47" s="83"/>
      <x:c r="AB47" s="83"/>
      <x:c r="AC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  <x:c r="AA48" s="83"/>
      <x:c r="AB48" s="83"/>
      <x:c r="AC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  <x:c r="AA49" s="83"/>
      <x:c r="AB49" s="83"/>
      <x:c r="AC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  <x:c r="AA50" s="83"/>
      <x:c r="AB50" s="83"/>
      <x:c r="AC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  <x:c r="AA51" s="83"/>
      <x:c r="AB51" s="83"/>
      <x:c r="AC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  <x:c r="AA52" s="83"/>
      <x:c r="AB52" s="83"/>
      <x:c r="AC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  <x:c r="AA53" s="83"/>
      <x:c r="AB53" s="83"/>
      <x:c r="AC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  <x:c r="AA54" s="83"/>
      <x:c r="AB54" s="83"/>
      <x:c r="AC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  <x:c r="AA55" s="83"/>
      <x:c r="AB55" s="83"/>
      <x:c r="AC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  <x:c r="AA56" s="83"/>
      <x:c r="AB56" s="83"/>
      <x:c r="AC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  <x:c r="AA57" s="83"/>
      <x:c r="AB57" s="83"/>
      <x:c r="AC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  <x:c r="AA58" s="83"/>
      <x:c r="AB58" s="83"/>
      <x:c r="AC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  <x:c r="AA59" s="83"/>
      <x:c r="AB59" s="83"/>
      <x:c r="AC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  <x:c r="AA60" s="83"/>
      <x:c r="AB60" s="83"/>
      <x:c r="AC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  <x:c r="AA61" s="83"/>
      <x:c r="AB61" s="83"/>
      <x:c r="AC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  <x:c r="AA62" s="83"/>
      <x:c r="AB62" s="83"/>
      <x:c r="AC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  <x:c r="AA63" s="83"/>
      <x:c r="AB63" s="83"/>
      <x:c r="AC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  <x:c r="AA64" s="83"/>
      <x:c r="AB64" s="83"/>
      <x:c r="AC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  <x:c r="AA65" s="83"/>
      <x:c r="AB65" s="83"/>
      <x:c r="AC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  <x:c r="AA66" s="83"/>
      <x:c r="AB66" s="83"/>
      <x:c r="AC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  <x:c r="AA67" s="83"/>
      <x:c r="AB67" s="83"/>
      <x:c r="AC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  <x:c r="AA68" s="83"/>
      <x:c r="AB68" s="83"/>
      <x:c r="AC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  <x:c r="AA69" s="83"/>
      <x:c r="AB69" s="83"/>
      <x:c r="AC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  <x:c r="AA70" s="83"/>
      <x:c r="AB70" s="83"/>
      <x:c r="AC70" s="83"/>
    </x:row>
  </x:sheetData>
  <x:mergeCells>
    <x:mergeCell ref="D20:E20"/>
    <x:mergeCell ref="D21:E21"/>
    <x:mergeCell ref="D22:E22"/>
    <x:mergeCell ref="D23:E23"/>
    <x:mergeCell ref="D24:E24"/>
    <x:mergeCell ref="D25:E25"/>
    <x:mergeCell ref="B29:E29"/>
    <x:mergeCell ref="B30:E30"/>
    <x:mergeCell ref="B31:E31"/>
    <x:mergeCell ref="B32:E32"/>
  </x:mergeCells>
  <x:pageMargins left="0.7" right="0.7" top="0.75" bottom="0.75" header="0.3" footer="0.3"/>
</x:worksheet>
</file>